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FP Overview" sheetId="2" state="visible" r:id="rId2"/>
    <sheet xmlns:r="http://schemas.openxmlformats.org/officeDocument/2006/relationships" name="Cost Breakdown" sheetId="3" state="visible" r:id="rId3"/>
    <sheet xmlns:r="http://schemas.openxmlformats.org/officeDocument/2006/relationships" name="Markets &amp; Sample" sheetId="4" state="visible" r:id="rId4"/>
    <sheet xmlns:r="http://schemas.openxmlformats.org/officeDocument/2006/relationships" name="Vendor Capabilities" sheetId="5" state="visible" r:id="rId5"/>
    <sheet xmlns:r="http://schemas.openxmlformats.org/officeDocument/2006/relationships" name="Sample Projects" sheetId="6" state="visible" r:id="rId6"/>
    <sheet xmlns:r="http://schemas.openxmlformats.org/officeDocument/2006/relationships" name="Timeline &amp; Milestones" sheetId="7" state="visible" r:id="rId7"/>
    <sheet xmlns:r="http://schemas.openxmlformats.org/officeDocument/2006/relationships" name="Evaluation Scorecard" sheetId="8" state="visible" r:id="rId8"/>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Inter"/>
      <b val="1"/>
      <color rgb="00DA365C"/>
      <sz val="14"/>
    </font>
    <font>
      <name val="Inter"/>
      <b val="1"/>
      <color rgb="004F73CD"/>
      <sz val="12"/>
    </font>
    <font>
      <name val="Inter"/>
      <b val="1"/>
      <sz val="10"/>
    </font>
    <font>
      <name val="Inter"/>
      <color rgb="001F2937"/>
      <sz val="10"/>
    </font>
    <font>
      <name val="Inter"/>
      <b val="1"/>
      <color rgb="00FFFFFF"/>
      <sz val="11"/>
    </font>
    <font>
      <name val="Inter"/>
      <i val="1"/>
      <color rgb="00DA365C"/>
      <sz val="10"/>
    </font>
    <font>
      <name val="Inter"/>
      <i val="1"/>
      <color rgb="006B7280"/>
      <sz val="9"/>
    </font>
    <font>
      <name val="Inter"/>
      <color rgb="002E7D32"/>
      <sz val="10"/>
    </font>
    <font>
      <name val="Inter"/>
      <i val="1"/>
      <color rgb="0001579B"/>
      <sz val="9"/>
    </font>
    <font>
      <name val="Inter"/>
      <b val="1"/>
      <color rgb="001F2937"/>
      <sz val="10"/>
    </font>
    <font>
      <name val="Inter"/>
      <sz val="10"/>
    </font>
    <font>
      <name val="Inter"/>
      <b val="1"/>
      <color rgb="00FFFFFF"/>
      <sz val="10"/>
    </font>
    <font>
      <name val="Inter"/>
      <b val="1"/>
      <sz val="11"/>
    </font>
    <font>
      <name val="Inter"/>
      <b val="1"/>
      <color rgb="00DA365C"/>
      <sz val="12"/>
    </font>
    <font>
      <i val="1"/>
      <color rgb="00006B6B"/>
      <sz val="9"/>
    </font>
    <font>
      <sz val="10"/>
    </font>
  </fonts>
  <fills count="10">
    <fill>
      <patternFill/>
    </fill>
    <fill>
      <patternFill patternType="gray125"/>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E3F2FD"/>
        <bgColor rgb="00E3F2FD"/>
      </patternFill>
    </fill>
    <fill>
      <patternFill patternType="solid">
        <fgColor rgb="001F2937"/>
        <bgColor rgb="001F2937"/>
      </patternFill>
    </fill>
    <fill>
      <patternFill patternType="solid">
        <fgColor rgb="004F73CD"/>
        <bgColor rgb="004F73CD"/>
      </patternFill>
    </fill>
    <fill>
      <patternFill patternType="solid">
        <fgColor rgb="00E5E7EB"/>
        <bgColor rgb="00E5E7EB"/>
      </patternFill>
    </fill>
    <fill>
      <patternFill patternType="solid">
        <fgColor rgb="00E8F5F5"/>
        <bgColor rgb="00E8F5F5"/>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5" fillId="6" borderId="1"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0" applyAlignment="1" pivotButton="0" quotePrefix="0" xfId="0">
      <alignment vertical="top" wrapText="1"/>
    </xf>
    <xf numFmtId="0" fontId="0" fillId="7"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horizontal="center" vertical="center" wrapText="1"/>
    </xf>
    <xf numFmtId="0" fontId="7"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10" fillId="8" borderId="0" pivotButton="0" quotePrefix="0" xfId="0"/>
    <xf numFmtId="0" fontId="10" fillId="8" borderId="0" applyAlignment="1" pivotButton="0" quotePrefix="0" xfId="0">
      <alignment vertical="top" wrapText="1"/>
    </xf>
    <xf numFmtId="0" fontId="5" fillId="7" borderId="0" pivotButton="0" quotePrefix="0" xfId="0"/>
    <xf numFmtId="0" fontId="11" fillId="0" borderId="0" pivotButton="0" quotePrefix="0" xfId="0"/>
    <xf numFmtId="0" fontId="12" fillId="6" borderId="0" pivotButton="0" quotePrefix="0" xfId="0"/>
    <xf numFmtId="0" fontId="0" fillId="2"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13" fillId="8" borderId="1" pivotButton="0" quotePrefix="0" xfId="0"/>
    <xf numFmtId="0" fontId="0" fillId="8" borderId="1" pivotButton="0" quotePrefix="0" xfId="0"/>
    <xf numFmtId="0" fontId="14" fillId="8" borderId="1" pivotButton="0" quotePrefix="0" xfId="0"/>
    <xf numFmtId="0" fontId="15" fillId="9" borderId="1" applyAlignment="1" pivotButton="0" quotePrefix="0" xfId="0">
      <alignment vertical="top" wrapText="1"/>
    </xf>
    <xf numFmtId="0" fontId="15" fillId="9" borderId="0" applyAlignment="1" pivotButton="0" quotePrefix="0" xfId="0">
      <alignment horizontal="center" vertical="center" wrapText="1"/>
    </xf>
    <xf numFmtId="0" fontId="15" fillId="9" borderId="1" pivotButton="0" quotePrefix="0" xfId="0"/>
    <xf numFmtId="0" fontId="16" fillId="9" borderId="1" applyAlignment="1" pivotButton="0" quotePrefix="0" xfId="0">
      <alignment vertical="top" wrapText="1"/>
    </xf>
    <xf numFmtId="0" fontId="16" fillId="2" borderId="1" applyAlignment="1" pivotButton="0" quotePrefix="0" xfId="0">
      <alignment vertical="top" wrapText="1"/>
    </xf>
    <xf numFmtId="0" fontId="1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365C"/>
    <outlinePr summaryBelow="1" summaryRight="1"/>
    <pageSetUpPr/>
  </sheetPr>
  <dimension ref="A1:F18"/>
  <sheetViews>
    <sheetView workbookViewId="0">
      <selection activeCell="A1" sqref="A1"/>
    </sheetView>
  </sheetViews>
  <sheetFormatPr baseColWidth="8" defaultRowHeight="15"/>
  <cols>
    <col width="25" customWidth="1" min="1" max="1"/>
    <col width="60" customWidth="1" min="2" max="2"/>
    <col width="45" customWidth="1" min="3" max="3"/>
  </cols>
  <sheetData>
    <row r="1" ht="40" customHeight="1">
      <c r="A1" s="1" t="inlineStr">
        <is>
          <t>PetaSight — RFP Template Workbook</t>
        </is>
      </c>
    </row>
    <row r="3">
      <c r="A3" s="2" t="inlineStr">
        <is>
          <t>HOW TO USE THIS WORKBOOK</t>
        </is>
      </c>
    </row>
    <row r="5">
      <c r="A5" s="3" t="inlineStr">
        <is>
          <t>Color Legend:</t>
        </is>
      </c>
      <c r="B5" s="4" t="inlineStr"/>
      <c r="C5" s="4" t="inlineStr"/>
    </row>
    <row r="6">
      <c r="A6" s="5" t="inlineStr">
        <is>
          <t>Orange background</t>
        </is>
      </c>
      <c r="B6" s="4">
        <f> Free-text placeholder field. Replace with your content.</f>
        <v/>
      </c>
      <c r="C6" s="4" t="inlineStr"/>
    </row>
    <row r="7">
      <c r="A7" s="6" t="inlineStr">
        <is>
          <t>Green background</t>
        </is>
      </c>
      <c r="B7" s="4">
        <f> Enum / dropdown field. Select from provided options.</f>
        <v/>
      </c>
      <c r="C7" s="4" t="inlineStr"/>
    </row>
    <row r="8">
      <c r="A8" s="7" t="inlineStr">
        <is>
          <t>Purple background</t>
        </is>
      </c>
      <c r="B8" s="4">
        <f> Example excerpt from real RFPs. Delete from final version.</f>
        <v/>
      </c>
      <c r="C8" s="4" t="inlineStr"/>
    </row>
    <row r="9">
      <c r="A9" s="8" t="inlineStr">
        <is>
          <t>Blue background</t>
        </is>
      </c>
      <c r="B9" s="4">
        <f> Instructions / guidance. Delete from final version.</f>
        <v/>
      </c>
      <c r="C9" s="4" t="inlineStr"/>
    </row>
    <row r="10">
      <c r="A10" s="4" t="inlineStr"/>
      <c r="B10" s="4" t="inlineStr"/>
      <c r="C10" s="4" t="inlineStr"/>
    </row>
    <row r="11">
      <c r="A11" s="3" t="inlineStr">
        <is>
          <t>Tabs Overview:</t>
        </is>
      </c>
      <c r="B11" s="4" t="inlineStr"/>
      <c r="C11" s="4" t="inlineStr"/>
    </row>
    <row r="12">
      <c r="A12" s="4" t="inlineStr">
        <is>
          <t>RFP Overview</t>
        </is>
      </c>
      <c r="B12" s="4" t="inlineStr">
        <is>
          <t>Core Q&amp;A format RFP (like RFP-A3 EU Supplier format)</t>
        </is>
      </c>
      <c r="C12" s="4" t="inlineStr">
        <is>
          <t>For RFPs structured as question/answer pairs</t>
        </is>
      </c>
    </row>
    <row r="13">
      <c r="A13" s="4" t="inlineStr">
        <is>
          <t>Cost Breakdown</t>
        </is>
      </c>
      <c r="B13" s="4" t="inlineStr">
        <is>
          <t>Itemized cost template by project phase (like RFP-A4)</t>
        </is>
      </c>
      <c r="C13" s="4" t="inlineStr">
        <is>
          <t>For vendor pricing responses</t>
        </is>
      </c>
    </row>
    <row r="14">
      <c r="A14" s="4" t="inlineStr">
        <is>
          <t>Markets &amp; Sample</t>
        </is>
      </c>
      <c r="B14" s="4" t="inlineStr">
        <is>
          <t>Country-level scope, sample sizes, and modalities</t>
        </is>
      </c>
      <c r="C14" s="4" t="inlineStr">
        <is>
          <t>For multi-country studies</t>
        </is>
      </c>
    </row>
    <row r="15">
      <c r="A15" s="4" t="inlineStr">
        <is>
          <t>Vendor Capabilities</t>
        </is>
      </c>
      <c r="B15" s="4" t="inlineStr">
        <is>
          <t>Firm details, capabilities assessment (like RFP-A4)</t>
        </is>
      </c>
      <c r="C15" s="4" t="inlineStr">
        <is>
          <t>For vendor qualification / RFI</t>
        </is>
      </c>
    </row>
    <row r="16">
      <c r="A16" s="4" t="inlineStr">
        <is>
          <t>Sample Projects</t>
        </is>
      </c>
      <c r="B16" s="4" t="inlineStr">
        <is>
          <t>Pricing scenarios for test project types (like RFP-A4)</t>
        </is>
      </c>
      <c r="C16" s="4" t="inlineStr">
        <is>
          <t>For benchmarking vendor costs</t>
        </is>
      </c>
    </row>
    <row r="17">
      <c r="A17" s="4" t="inlineStr">
        <is>
          <t>Timeline &amp; Milestones</t>
        </is>
      </c>
      <c r="B17" s="4" t="inlineStr">
        <is>
          <t>Gantt-style project timeline</t>
        </is>
      </c>
      <c r="C17" s="4" t="inlineStr">
        <is>
          <t>For project planning</t>
        </is>
      </c>
    </row>
    <row r="18">
      <c r="A18" s="4" t="inlineStr">
        <is>
          <t>Evaluation Scorecard</t>
        </is>
      </c>
      <c r="B18" s="4" t="inlineStr">
        <is>
          <t>Weighted scoring matrix for vendor evaluation</t>
        </is>
      </c>
      <c r="C18" s="4" t="inlineStr">
        <is>
          <t>For internal use during vendor selection</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tabColor rgb="004F73CD"/>
    <outlinePr summaryBelow="1" summaryRight="1"/>
    <pageSetUpPr/>
  </sheetPr>
  <dimension ref="A1:C84"/>
  <sheetViews>
    <sheetView workbookViewId="0">
      <selection activeCell="A1" sqref="A1"/>
    </sheetView>
  </sheetViews>
  <sheetFormatPr baseColWidth="8" defaultRowHeight="15"/>
  <cols>
    <col width="8" customWidth="1" min="1" max="1"/>
    <col width="70" customWidth="1" min="2" max="2"/>
    <col width="60" customWidth="1" min="3" max="3"/>
  </cols>
  <sheetData>
    <row r="1">
      <c r="A1" s="9" t="inlineStr">
        <is>
          <t>Section</t>
        </is>
      </c>
      <c r="B1" s="9" t="inlineStr">
        <is>
          <t>Question / Field</t>
        </is>
      </c>
      <c r="C1" s="9" t="inlineStr">
        <is>
          <t>Answer / Response</t>
        </is>
      </c>
    </row>
    <row r="2">
      <c r="A2" s="10" t="inlineStr">
        <is>
          <t>1</t>
        </is>
      </c>
      <c r="B2" s="11" t="inlineStr">
        <is>
          <t>1. INTRODUCTION</t>
        </is>
      </c>
      <c r="C2" s="12" t="inlineStr"/>
    </row>
    <row r="3">
      <c r="A3" s="13" t="inlineStr">
        <is>
          <t>1.1</t>
        </is>
      </c>
      <c r="B3" s="14" t="inlineStr">
        <is>
          <t>About Your Organization:</t>
        </is>
      </c>
      <c r="C3" s="36" t="inlineStr">
        <is>
          <t>[ENTER COMPANY DESCRIPTION]
Ex1 (A13): [CLIENT_ORG] is a global healthcare company focused on patient needs. Our business includes a diversified offering of branded and generic prescription medicines, consumer healthcare products, human va ; Ex2 (A9): Arden Laboratories, Inc. is a global leader in eye care and vision science. The company develops, manufactures and markets a broad range of eye care products including contact lenses, lens care soluti ; Ex3 (A10): Zephora is a global animal health company committed to enhancing the health of animals. In [DATE], Zephora launched [BRAND_A], a novel drug indicated for the control of pruritus associated with allerg</t>
        </is>
      </c>
    </row>
    <row r="4">
      <c r="A4" s="13" t="inlineStr">
        <is>
          <t>1.2</t>
        </is>
      </c>
      <c r="B4" s="14" t="inlineStr">
        <is>
          <t>RFP General Scope:</t>
        </is>
      </c>
      <c r="C4" s="36" t="inlineStr">
        <is>
          <t>[ENTER: Brief description of research being procured]
Ex1 (A9): The Dry Eye Commercial Team recognizes that the business is shifting to OTC and seeks to gain a better understanding of the consumer eye care landscape. The team also seeks to establish consumer segme ; Ex2 (A10): In [DATE], Zephora launched a novel drug, [BRAND_A], indicated for the control of pruritus associated with allergic dermatitis and the control of atopic dermatitis in dogs. [BRAND_A] can be used acros ; Ex3 (A13): Background and design specifications for each therapy under consideration are outlined in the MR Specifications Appendix document. [CLIENT_ORG] Global Customer Insights is sponsoring the development o</t>
        </is>
      </c>
    </row>
    <row r="5">
      <c r="A5" s="13" t="inlineStr"/>
      <c r="B5" s="14" t="inlineStr"/>
      <c r="C5" s="14" t="inlineStr"/>
    </row>
    <row r="6">
      <c r="A6" s="16" t="inlineStr"/>
      <c r="B6" s="17" t="inlineStr">
        <is>
          <t>EXAMPLE: "[CLIENT_ORG] is issuing this request to selected potential participants for the provision of qualitative and quantitative primary market research services."</t>
        </is>
      </c>
      <c r="C6" s="17" t="inlineStr"/>
    </row>
    <row r="7">
      <c r="A7" s="13" t="inlineStr"/>
      <c r="B7" s="14" t="inlineStr"/>
      <c r="C7" s="14" t="inlineStr"/>
    </row>
    <row r="8">
      <c r="A8" s="13" t="inlineStr">
        <is>
          <t>1.3</t>
        </is>
      </c>
      <c r="B8" s="14" t="inlineStr">
        <is>
          <t>Project Timeline:</t>
        </is>
      </c>
      <c r="C8" s="14" t="inlineStr"/>
    </row>
    <row r="9">
      <c r="A9" s="13" t="inlineStr"/>
      <c r="B9" s="14" t="inlineStr">
        <is>
          <t>RFP Release Date:</t>
        </is>
      </c>
      <c r="C9" s="36" t="inlineStr">
        <is>
          <t>[ENTER DATE]
Ex1 (A13): September 9, [YEAR], 5:00 PM US Eastern Time ; Ex2 (A10): October 20, [YEAR] ; Ex3 (A9): Immediate start upon vendor selection ; Ex4 (A3): February 1, [YEAR] ; Ex5 (A1): Q1 [YEAR] — aligned to fiscal calendar</t>
        </is>
      </c>
    </row>
    <row r="10">
      <c r="A10" s="13" t="inlineStr"/>
      <c r="B10" s="14" t="inlineStr">
        <is>
          <t>Deadline for Questions:</t>
        </is>
      </c>
      <c r="C10" s="36" t="inlineStr">
        <is>
          <t>[ENTER DATE]
Ex1 (A13): September 9, [YEAR], 5:00 PM US Eastern Time ; Ex2 (A10): October 20, [YEAR] ; Ex3 (A9): Immediate start upon vendor selection ; Ex4 (A3): February 1, [YEAR] ; Ex5 (A1): Q1 [YEAR] — aligned to fiscal calendar</t>
        </is>
      </c>
    </row>
    <row r="11">
      <c r="A11" s="13" t="inlineStr"/>
      <c r="B11" s="14" t="inlineStr">
        <is>
          <t>Responses to Questions Posted By:</t>
        </is>
      </c>
      <c r="C11" s="36" t="inlineStr">
        <is>
          <t>[ENTER DATE]
Ex1 (A13): September 9, [YEAR], 5:00 PM US Eastern Time ; Ex2 (A10): October 20, [YEAR] ; Ex3 (A9): Immediate start upon vendor selection ; Ex4 (A3): February 1, [YEAR] ; Ex5 (A1): Q1 [YEAR] — aligned to fiscal calendar</t>
        </is>
      </c>
    </row>
    <row r="12">
      <c r="A12" s="13" t="inlineStr"/>
      <c r="B12" s="14" t="inlineStr">
        <is>
          <t>RFP Responses Due:</t>
        </is>
      </c>
      <c r="C12" s="36" t="inlineStr">
        <is>
          <t>[ENTER DATE]
Ex1 (A13): September 9, [YEAR], 5:00 PM US Eastern Time ; Ex2 (A10): October 20, [YEAR] ; Ex3 (A9): Immediate start upon vendor selection ; Ex4 (A3): February 1, [YEAR] ; Ex5 (A1): Q1 [YEAR] — aligned to fiscal calendar</t>
        </is>
      </c>
    </row>
    <row r="13">
      <c r="A13" s="13" t="inlineStr"/>
      <c r="B13" s="14" t="inlineStr">
        <is>
          <t>Clarifying Questions (if needed):</t>
        </is>
      </c>
      <c r="C13" s="36" t="inlineStr">
        <is>
          <t>[ENTER DATE]
Ex1 (A13): September 9, [YEAR], 5:00 PM US Eastern Time ; Ex2 (A10): October 20, [YEAR] ; Ex3 (A9): Immediate start upon vendor selection ; Ex4 (A3): February 1, [YEAR] ; Ex5 (A1): Q1 [YEAR] — aligned to fiscal calendar</t>
        </is>
      </c>
    </row>
    <row r="14">
      <c r="A14" s="13" t="inlineStr"/>
      <c r="B14" s="14" t="inlineStr">
        <is>
          <t>Clarifying Responses Due:</t>
        </is>
      </c>
      <c r="C14" s="36" t="inlineStr">
        <is>
          <t>[ENTER DATE]
Ex1 (A13): September 9, [YEAR], 5:00 PM US Eastern Time ; Ex2 (A10): October 20, [YEAR] ; Ex3 (A9): Immediate start upon vendor selection ; Ex4 (A3): February 1, [YEAR] ; Ex5 (A1): Q1 [YEAR] — aligned to fiscal calendar</t>
        </is>
      </c>
    </row>
    <row r="15">
      <c r="A15" s="13" t="inlineStr"/>
      <c r="B15" s="14" t="inlineStr">
        <is>
          <t>Communication Regarding Next Steps:</t>
        </is>
      </c>
      <c r="C15" s="36" t="inlineStr">
        <is>
          <t>[ENTER DATE]
Ex1 (A13): September 9, [YEAR], 5:00 PM US Eastern Time ; Ex2 (A10): October 20, [YEAR] ; Ex3 (A9): Immediate start upon vendor selection ; Ex4 (A3): February 1, [YEAR] ; Ex5 (A1): Q1 [YEAR] — aligned to fiscal calendar</t>
        </is>
      </c>
    </row>
    <row r="16">
      <c r="A16" s="13" t="inlineStr"/>
      <c r="B16" s="14" t="inlineStr">
        <is>
          <t>Anticipated Award Date:</t>
        </is>
      </c>
      <c r="C16" s="36" t="inlineStr">
        <is>
          <t>[ENTER DATE]
Ex1 (A13): September 9, [YEAR], 5:00 PM US Eastern Time ; Ex2 (A10): October 20, [YEAR] ; Ex3 (A9): Immediate start upon vendor selection ; Ex4 (A3): February 1, [YEAR] ; Ex5 (A1): Q1 [YEAR] — aligned to fiscal calendar</t>
        </is>
      </c>
    </row>
    <row r="17">
      <c r="A17" s="13" t="inlineStr"/>
      <c r="B17" s="14" t="inlineStr">
        <is>
          <t>Please confirm adherence to timeline:</t>
        </is>
      </c>
      <c r="C17" s="33" t="inlineStr">
        <is>
          <t>[SELECT: Yes | No]
Ex (A13): Yes, with strict 5:00 PM ET deadline</t>
        </is>
      </c>
    </row>
    <row r="18">
      <c r="A18" s="13" t="inlineStr"/>
      <c r="B18" s="14" t="inlineStr"/>
      <c r="C18" s="14" t="inlineStr"/>
    </row>
    <row r="19">
      <c r="A19" s="13" t="inlineStr">
        <is>
          <t>1.4</t>
        </is>
      </c>
      <c r="B19" s="14" t="inlineStr">
        <is>
          <t>Primary Contact Information:</t>
        </is>
      </c>
      <c r="C19" s="14" t="inlineStr"/>
    </row>
    <row r="20">
      <c r="A20" s="13" t="inlineStr"/>
      <c r="B20" s="14" t="inlineStr">
        <is>
          <t>Name:</t>
        </is>
      </c>
      <c r="C20" s="36" t="inlineStr">
        <is>
          <t>[ENTER NAME]
Ex1 (A10): Tessa Mallory ; Ex2 (A13): Kiran Harmon ; Ex3 (A12): Global Business Analysis Manager (name withheld)</t>
        </is>
      </c>
    </row>
    <row r="21">
      <c r="A21" s="13" t="inlineStr"/>
      <c r="B21" s="14" t="inlineStr">
        <is>
          <t>Title:</t>
        </is>
      </c>
      <c r="C21" s="36" t="inlineStr">
        <is>
          <t>[ENTER TITLE]
Ex1 (A10): Associate Director, Global Market Research ; Ex2 (A12): Global Business Analysis Manager ; Ex3 (A13): Director, Global Customer Insights &amp; Analytics</t>
        </is>
      </c>
    </row>
    <row r="22">
      <c r="A22" s="13" t="inlineStr"/>
      <c r="B22" s="14" t="inlineStr">
        <is>
          <t>Email:</t>
        </is>
      </c>
      <c r="C22" s="36" t="inlineStr">
        <is>
          <t>[ENTER EMAIL]
Ex1 (A10): tmallory@zephora.com ; Ex2 (A13): kiran.harmon@client.com ; Ex3 (A9): susan.cassidy@ardenlabs.com</t>
        </is>
      </c>
    </row>
    <row r="23">
      <c r="A23" s="13" t="inlineStr"/>
      <c r="B23" s="14" t="inlineStr">
        <is>
          <t>Phone:</t>
        </is>
      </c>
      <c r="C23" s="37" t="inlineStr">
        <is>
          <t>[ENTER PHONE]
Ex1 (A10): +1 (609) 555-0123 ; Ex2 (A13): +1 (908) 555-0456</t>
        </is>
      </c>
    </row>
    <row r="24">
      <c r="A24" s="13" t="inlineStr"/>
      <c r="B24" s="14" t="inlineStr"/>
      <c r="C24" s="14" t="inlineStr"/>
    </row>
    <row r="25">
      <c r="A25" s="13" t="inlineStr">
        <is>
          <t>1.5</t>
        </is>
      </c>
      <c r="B25" s="14" t="inlineStr">
        <is>
          <t>Evaluation Criteria Overview:</t>
        </is>
      </c>
      <c r="C25" s="36" t="inlineStr">
        <is>
          <t>[ENTER: How proposals will be evaluated]
Ex1 (A9): Assurance of Supply (resources, capacity, financial strength, corporate vision); Quality (industry experience, performance, OTC eye drop expertise, technical solutions); Service (account management, g ; Ex2 (A13): Quality, clarity and compliance to required format; Technical expertise and understanding of study design; Demonstrated experience in similar therapeutic areas; Competitive pricing aligned to fair mar ; Ex3 (A4): Assurance of Supply: supplier size, financial stability, industry track record, capacity; Specific experience in pharma/consumer healthcare research; Quality and comprehensiveness of proposal; Competi</t>
        </is>
      </c>
    </row>
    <row r="26">
      <c r="A26" s="13" t="inlineStr"/>
      <c r="B26" s="14" t="inlineStr"/>
      <c r="C26" s="14" t="inlineStr"/>
    </row>
    <row r="27">
      <c r="A27" s="16" t="inlineStr"/>
      <c r="B27" s="17" t="inlineStr">
        <is>
          <t>EXAMPLE: "1) Assurance of Supply: supplier size, financial stability, track record. 2) Quality of Service: methodology, innovation, relevant experience. 3) Total Cost of Ownership."</t>
        </is>
      </c>
      <c r="C27" s="17" t="inlineStr"/>
    </row>
    <row r="28">
      <c r="A28" s="13" t="inlineStr"/>
      <c r="B28" s="14" t="inlineStr"/>
      <c r="C28" s="14" t="inlineStr"/>
    </row>
    <row r="29">
      <c r="A29" s="10" t="inlineStr">
        <is>
          <t>2</t>
        </is>
      </c>
      <c r="B29" s="11" t="inlineStr">
        <is>
          <t>2. PROJECT BACKGROUND &amp; CONTEXT</t>
        </is>
      </c>
      <c r="C29" s="12" t="inlineStr"/>
    </row>
    <row r="30">
      <c r="A30" s="13" t="inlineStr">
        <is>
          <t>2.1</t>
        </is>
      </c>
      <c r="B30" s="14" t="inlineStr">
        <is>
          <t>Therapeutic Area / Category:</t>
        </is>
      </c>
      <c r="C30" s="36" t="inlineStr">
        <is>
          <t>[SELECT: Oncology | Immunology | CV | Diabetes | Neuro | Respiratory | Derm | Rare Disease | Vaccines | Consumer HC | Animal Health | MedDev | Other]
Ex1 (A9): Consumer Healthcare (OTC) — specifically dry eye, allergy, and eye vitamin segments ; Ex2 (A10): Animal Health — companion animal dermatology (canine atopic dermatitis) ; Ex3 (A13): Multiple: Diabetes &amp; CV (SGLT-1/SGLT-2 inhibitor), Rare Disease (Fabry disease enzyme replacement), Consumer Healthcare (new brand launch) ; Ex4 (A7): Oncology — breast cancer treatment patterns ; Ex5 (A1): Consumer Healthcare — oral care (sensitivity, gum health, whitening categories)</t>
        </is>
      </c>
    </row>
    <row r="31">
      <c r="A31" s="13" t="inlineStr">
        <is>
          <t>2.2</t>
        </is>
      </c>
      <c r="B31" s="14" t="inlineStr">
        <is>
          <t>Product Lifecycle Stage:</t>
        </is>
      </c>
      <c r="C31" s="36" t="inlineStr">
        <is>
          <t>[SELECT: Pre-launch | Launch | Year 1-2 | Growth | LOE | Portfolio]
Ex1 (A13): Pre-launch (Phase II/III) — new product candidates pending regulatory approval, TPP assessment needed ; Ex2 (A10): Year 1-2 Post-Launch — product launched but under supply allocation; pilot to validate demand forecasts ; Ex3 (A9): Growth / Established — existing OTC eye drop portfolio seeking consumer segmentation to refine positioning ; Ex4 (A1): Growth / Established — ongoing brand tracking for promoted consumer healthcare products</t>
        </is>
      </c>
    </row>
    <row r="32">
      <c r="A32" s="13" t="inlineStr">
        <is>
          <t>2.3</t>
        </is>
      </c>
      <c r="B32" s="14" t="inlineStr">
        <is>
          <t>Brand / Product Name(s):</t>
        </is>
      </c>
      <c r="C32" s="37" t="inlineStr">
        <is>
          <t>[ENTER BRAND NAMES]
Ex1 (A10): [BRAND_A] (novel drug for control of pruritus/atopic dermatitis in dogs, sold directly to veterinary clinics) ; Ex2 (A13): New Product E (SGLT-1/SGLT-2 inhibitor for Diabetes), New Product D (enzyme replacement for Fabry disease), New Product C (Consumer Healthcare new brand) ; Ex3 (A9): OTC dry eye drops portfolio including [BRAND_X] Artificial Tears, [BRAND_Y] Allergy Eye Drops</t>
        </is>
      </c>
    </row>
    <row r="33">
      <c r="A33" s="13" t="inlineStr">
        <is>
          <t>2.4</t>
        </is>
      </c>
      <c r="B33" s="14" t="inlineStr">
        <is>
          <t>Background Description:</t>
        </is>
      </c>
      <c r="C33" s="37" t="inlineStr">
        <is>
          <t>[ENTER: 2-5 paragraphs describing market situation, competitive landscape, and why research is needed]
Ex1 (A9): The Dry Eye Commercial Team recognizes that the business is shifting to OTC and seeks to gain a better understanding of the consumer eye care landscape. The team also seeks to establish consumer segme ; Ex2 (A10): In [DATE], Zephora launched a novel drug, [BRAND_A], indicated for the control of pruritus associated with allergic dermatitis and the control of atopic dermatitis in dogs. [BRAND_A] can be used acros ; Ex3 (A13): Background and design specifications for each therapy under consideration are outlined in the MR Specifications Appendix document. [CLIENT_ORG] Global Customer Insights is sponsoring the development o</t>
        </is>
      </c>
    </row>
    <row r="34">
      <c r="A34" s="13" t="inlineStr"/>
      <c r="B34" s="14" t="inlineStr"/>
      <c r="C34" s="14" t="inlineStr"/>
    </row>
    <row r="35">
      <c r="A35" s="16" t="inlineStr"/>
      <c r="B35" s="17" t="inlineStr">
        <is>
          <t>EXAMPLE: "In [DATE], Zephora launched [BRAND_A] for control of pruritus associated with allergic dermatitis. Demand far exceeded supply; product was only available under controlled distribution. We need to understand purchasing behavior without supply constraints."</t>
        </is>
      </c>
      <c r="C35" s="17" t="inlineStr"/>
    </row>
    <row r="36">
      <c r="A36" s="13" t="inlineStr"/>
      <c r="B36" s="14" t="inlineStr"/>
      <c r="C36" s="14" t="inlineStr"/>
    </row>
    <row r="37">
      <c r="A37" s="10" t="inlineStr">
        <is>
          <t>3</t>
        </is>
      </c>
      <c r="B37" s="11" t="inlineStr">
        <is>
          <t>3. BUSINESS &amp; RESEARCH OBJECTIVES</t>
        </is>
      </c>
      <c r="C37" s="12" t="inlineStr"/>
    </row>
    <row r="38">
      <c r="A38" s="13" t="inlineStr">
        <is>
          <t>3.1</t>
        </is>
      </c>
      <c r="B38" s="14" t="inlineStr">
        <is>
          <t>Primary Business Objective:</t>
        </is>
      </c>
      <c r="C38" s="37" t="inlineStr">
        <is>
          <t>[ENTER: What business decision will this research inform?]
Ex1 (A10): Understand the purchasing behavior and usage of [BRAND_A] without supply constraints to validate forecasting and purchasing assumptions. ; Ex2 (A1): Track the recommendation behaviour of HCPs towards [CLIENT_ORG] brands/categories in real time, measuring Average Weekly Recommendations (AWR), Share of Recommendations (SoR), and Brand Recommended Mo ; Ex3 (A13): Develop a best-practice framework for TPP concept testing and preference share modeling that can be replicated across all [CLIENT_ORG] business units for new product development decisions.</t>
        </is>
      </c>
    </row>
    <row r="39">
      <c r="A39" s="13" t="inlineStr">
        <is>
          <t>3.2</t>
        </is>
      </c>
      <c r="B39" s="14" t="inlineStr">
        <is>
          <t>Research Objectives (list all):</t>
        </is>
      </c>
      <c r="C39" s="37" t="inlineStr">
        <is>
          <t>[ENTER: Numbered list of specific research questions]
Ex1 (A10): 1) Understand and analyze order amounts and reorder rate (Zephora sales data) test vs. control at the clinic level
2) Conduct diary study with veterinary clinics to capture daily patient visits, produ ; Ex2 (A9): 1) Map the OTC eye drop patient journey/path to purchase from symptom onset through retailer selection and product choice
2) Identify levers in the journey where Arden can influence stakeholder behavi</t>
        </is>
      </c>
    </row>
    <row r="40">
      <c r="A40" s="13" t="inlineStr"/>
      <c r="B40" s="14" t="inlineStr"/>
      <c r="C40" s="14" t="inlineStr"/>
    </row>
    <row r="41">
      <c r="A41" s="16" t="inlineStr"/>
      <c r="B41" s="17" t="inlineStr">
        <is>
          <t>EXAMPLE: "1. Understand order amounts &amp; reorder rate (test vs control)
2. Conduct diary study to understand usage
3. Analyze retail sales information
4. Understand purchases, usage and sales at clinic level"</t>
        </is>
      </c>
      <c r="C41" s="17" t="inlineStr"/>
    </row>
    <row r="42">
      <c r="A42" s="13" t="inlineStr"/>
      <c r="B42" s="14" t="inlineStr"/>
      <c r="C42" s="14" t="inlineStr"/>
    </row>
    <row r="43">
      <c r="A43" s="10" t="inlineStr">
        <is>
          <t>4</t>
        </is>
      </c>
      <c r="B43" s="11" t="inlineStr">
        <is>
          <t>4. METHODOLOGY &amp; SCOPE</t>
        </is>
      </c>
      <c r="C43" s="12" t="inlineStr"/>
    </row>
    <row r="44">
      <c r="A44" s="13" t="inlineStr">
        <is>
          <t>4.1</t>
        </is>
      </c>
      <c r="B44" s="14" t="inlineStr">
        <is>
          <t>Primary Methodology:</t>
        </is>
      </c>
      <c r="C44" s="38" t="inlineStr">
        <is>
          <t>[SELECT: Quant (CAWI/CAPI/CATI) | Qual (IDIs/FGs) | Mixed | Chart Review | Conjoint/DCE | Tracking | Diary | Delphi | Advisory Board]
Ex1 (A9): Mixed Methods (Qual + Quant) — qualitative triad interviews (90 min) in 6 markets followed by concurrent quantitative segmentation (40 min online) and path-to-purchase (30 min online) surveys ; Ex2 (A10): Quantitative (CAWI/CAPI/CATI) — pre-post pilot exercise comparing test (unconstrained supply) vs. control (allocation) groups, with concurrent diary study ; Ex3 (A13): Conjoint / Choice Modeling / DCE — Stage 1: Quantitative TPP Concept Testing; Stage 2: Claims Conjoint with Preference Share Simulation Model ; Ex4 (A7): Chart Review / Retrospective — medical chart abstraction with structured CRF ; Ex5 (A1): Tracking — continuous online survey waves tracking HCP recommendation behavior</t>
        </is>
      </c>
    </row>
    <row r="45">
      <c r="A45" s="13" t="inlineStr">
        <is>
          <t>4.2</t>
        </is>
      </c>
      <c r="B45" s="14" t="inlineStr">
        <is>
          <t>Methodology Description:</t>
        </is>
      </c>
      <c r="C45" s="37" t="inlineStr">
        <is>
          <t>[ENTER: Detailed methodology or 'Vendors should propose']
Ex1 (A10): A pre-post exercise via test (without supply constraints) / control (existing allocation) veterinary clinic comparison. Zephora will provide manufacturer sales for clinics in both groups plus retail s ; Ex2 (A9): Phase 1: Qualitative triad interviews (90 minutes) in US, China, Japan, Germany, Italy, Brazil to map path to purchase and identify key factors for segmentation.
Phase 2: Concurrent quantitative studi</t>
        </is>
      </c>
    </row>
    <row r="46">
      <c r="A46" s="13" t="inlineStr">
        <is>
          <t>4.3</t>
        </is>
      </c>
      <c r="B46" s="14" t="inlineStr">
        <is>
          <t>Number of Research Stages:</t>
        </is>
      </c>
      <c r="C46" s="18" t="inlineStr">
        <is>
          <t>[SELECT: 1 | 2 | 3 | 4+]</t>
        </is>
      </c>
    </row>
    <row r="47">
      <c r="A47" s="13" t="inlineStr">
        <is>
          <t>4.4</t>
        </is>
      </c>
      <c r="B47" s="14" t="inlineStr">
        <is>
          <t>Stage Details (if multi-stage):</t>
        </is>
      </c>
      <c r="C47" s="37" t="inlineStr">
        <is>
          <t>[ENTER: Description of each stage]
Ex1 (A13): Quantitative TPP Concept Testing ; Ex2 (A9): Phase 1: Qualitative Triads (path to purchase mapping + segmentation factor identification) ; Ex3 (A1): Wave 1: Baseline Measurement (pre-expert-programme launch)</t>
        </is>
      </c>
    </row>
    <row r="48">
      <c r="A48" s="13" t="inlineStr"/>
      <c r="B48" s="14" t="inlineStr"/>
      <c r="C48" s="14" t="inlineStr"/>
    </row>
    <row r="49">
      <c r="A49" s="10" t="inlineStr">
        <is>
          <t>5</t>
        </is>
      </c>
      <c r="B49" s="11" t="inlineStr">
        <is>
          <t>5. MARKETS &amp; GEOGRAPHY</t>
        </is>
      </c>
      <c r="C49" s="12" t="inlineStr"/>
    </row>
    <row r="50">
      <c r="A50" s="13" t="inlineStr">
        <is>
          <t>5.1</t>
        </is>
      </c>
      <c r="B50" s="14" t="inlineStr">
        <is>
          <t>Geographic Scope:</t>
        </is>
      </c>
      <c r="C50" s="38" t="inlineStr">
        <is>
          <t>[SELECT: Single Country | Multi-Country Regional | Multi-Country Global]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row>
    <row r="51">
      <c r="A51" s="13" t="inlineStr">
        <is>
          <t>5.2</t>
        </is>
      </c>
      <c r="B51" s="14" t="inlineStr">
        <is>
          <t>Target Markets:</t>
        </is>
      </c>
      <c r="C51" s="15" t="inlineStr">
        <is>
          <t>[ENTER: List of countries — see Markets &amp; Sample tab for detail]</t>
        </is>
      </c>
    </row>
    <row r="52">
      <c r="A52" s="13" t="inlineStr">
        <is>
          <t>5.3</t>
        </is>
      </c>
      <c r="B52" s="14" t="inlineStr">
        <is>
          <t>Core vs. Local Elements:</t>
        </is>
      </c>
      <c r="C52" s="15" t="inlineStr">
        <is>
          <t>[ENTER: % core / % local flexibility — e.g., '80% core, 20% local']</t>
        </is>
      </c>
    </row>
    <row r="53">
      <c r="A53" s="13" t="inlineStr"/>
      <c r="B53" s="14" t="inlineStr"/>
      <c r="C53" s="14" t="inlineStr"/>
    </row>
    <row r="54">
      <c r="A54" s="16" t="inlineStr"/>
      <c r="B54" s="17" t="inlineStr">
        <is>
          <t>EXAMPLE: "Europe: UK, Germany, France, Italy, Poland, Sweden, Netherlands | Russia | Japan | Korea. Core elements must be addressed in all countries (~80%); local elements (~20%) per country."</t>
        </is>
      </c>
      <c r="C54" s="17" t="inlineStr"/>
    </row>
    <row r="55">
      <c r="A55" s="13" t="inlineStr"/>
      <c r="B55" s="14" t="inlineStr"/>
      <c r="C55" s="14" t="inlineStr"/>
    </row>
    <row r="56">
      <c r="A56" s="10" t="inlineStr">
        <is>
          <t>6</t>
        </is>
      </c>
      <c r="B56" s="11" t="inlineStr">
        <is>
          <t>6. TARGET AUDIENCE &amp; SAMPLE</t>
        </is>
      </c>
      <c r="C56" s="12" t="inlineStr"/>
    </row>
    <row r="57">
      <c r="A57" s="13" t="inlineStr">
        <is>
          <t>6.1</t>
        </is>
      </c>
      <c r="B57" s="14" t="inlineStr">
        <is>
          <t>Primary Audience:</t>
        </is>
      </c>
      <c r="C57" s="38" t="inlineStr">
        <is>
          <t>[SELECT: Physicians (Specialist) | Physicians (GP) | Nurses | Pharmacists | Payers | Patients | Consumers | Caregivers | Hospital Admin | KOLs | Vets | Multiple]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row>
    <row r="58">
      <c r="A58" s="13" t="inlineStr">
        <is>
          <t>6.2</t>
        </is>
      </c>
      <c r="B58" s="14" t="inlineStr">
        <is>
          <t>Total Sample Size:</t>
        </is>
      </c>
      <c r="C58" s="15" t="inlineStr">
        <is>
          <t>[ENTER N=XXX]</t>
        </is>
      </c>
    </row>
    <row r="59">
      <c r="A59" s="13" t="inlineStr">
        <is>
          <t>6.3</t>
        </is>
      </c>
      <c r="B59" s="14" t="inlineStr">
        <is>
          <t>Audience Breakdown:</t>
        </is>
      </c>
      <c r="C59" s="15" t="inlineStr">
        <is>
          <t>[ENTER: Detail per segment — see Markets &amp; Sample tab]</t>
        </is>
      </c>
    </row>
    <row r="60">
      <c r="A60" s="13" t="inlineStr">
        <is>
          <t>6.4</t>
        </is>
      </c>
      <c r="B60" s="14" t="inlineStr">
        <is>
          <t>Recruitment Method:</t>
        </is>
      </c>
      <c r="C60" s="18" t="inlineStr">
        <is>
          <t>[SELECT: Online Panel | Client List | Free-Find | Referral | Mixed]</t>
        </is>
      </c>
    </row>
    <row r="61">
      <c r="A61" s="13" t="inlineStr">
        <is>
          <t>6.5</t>
        </is>
      </c>
      <c r="B61" s="14" t="inlineStr">
        <is>
          <t>Screening Criteria:</t>
        </is>
      </c>
      <c r="C61" s="15" t="inlineStr">
        <is>
          <t>[ENTER: Key inclusion/exclusion criteria]</t>
        </is>
      </c>
    </row>
    <row r="62">
      <c r="A62" s="13" t="inlineStr"/>
      <c r="B62" s="14" t="inlineStr"/>
      <c r="C62" s="14" t="inlineStr"/>
    </row>
    <row r="63">
      <c r="A63" s="10" t="inlineStr">
        <is>
          <t>7</t>
        </is>
      </c>
      <c r="B63" s="11" t="inlineStr">
        <is>
          <t>7. DELIVERABLES</t>
        </is>
      </c>
      <c r="C63" s="12" t="inlineStr"/>
    </row>
    <row r="64">
      <c r="A64" s="13" t="inlineStr">
        <is>
          <t>7.1</t>
        </is>
      </c>
      <c r="B64" s="14" t="inlineStr">
        <is>
          <t>List All Required Deliverables:</t>
        </is>
      </c>
      <c r="C64" s="37" t="inlineStr">
        <is>
          <t>[ENTER: Bulleted list]
Ex1 (A9): • Kickoff meeting with project team
• Topline qualitative PPT report of factors to determine segments
• Storyline presentation of quantitative segmentation results with detailed supporting appendix
•  ; Ex2 (A10): • Monthly PowerPoint summary report with key findings
• Presentation at Princeton, NJ office (interim + final)
• Final comprehensive report with statistical analysis of test vs. control differences
•  ; Ex3 (A13): • PowerPoint presentation for each therapeutic area (3 separate decks)
• Executive summary deck combining cross-TA findings
• Preference share simulation model (interactive Excel-based tool)
• Detaile</t>
        </is>
      </c>
    </row>
    <row r="65">
      <c r="A65" s="13" t="inlineStr">
        <is>
          <t>7.2</t>
        </is>
      </c>
      <c r="B65" s="14" t="inlineStr">
        <is>
          <t>Report Format:</t>
        </is>
      </c>
      <c r="C65" s="18" t="inlineStr">
        <is>
          <t>[SELECT: PowerPoint | Word | PDF | Dashboard | Multiple]</t>
        </is>
      </c>
    </row>
    <row r="66">
      <c r="A66" s="13" t="inlineStr">
        <is>
          <t>7.3</t>
        </is>
      </c>
      <c r="B66" s="14" t="inlineStr">
        <is>
          <t>Presentation Required?:</t>
        </is>
      </c>
      <c r="C66" s="18" t="inlineStr">
        <is>
          <t>[SELECT: Yes — In Person | Yes — Virtual | No]</t>
        </is>
      </c>
    </row>
    <row r="67">
      <c r="A67" s="13" t="inlineStr">
        <is>
          <t>7.4</t>
        </is>
      </c>
      <c r="B67" s="14" t="inlineStr">
        <is>
          <t>Presentation Location:</t>
        </is>
      </c>
      <c r="C67" s="15" t="inlineStr">
        <is>
          <t>[ENTER LOCATION if in-person]</t>
        </is>
      </c>
    </row>
    <row r="68">
      <c r="A68" s="13" t="inlineStr">
        <is>
          <t>7.5</t>
        </is>
      </c>
      <c r="B68" s="14" t="inlineStr">
        <is>
          <t>Raw Data Required?:</t>
        </is>
      </c>
      <c r="C68" s="18" t="inlineStr">
        <is>
          <t>[SELECT: Yes (SPSS) | Yes (CSV) | Yes (Excel) | No]</t>
        </is>
      </c>
    </row>
    <row r="69">
      <c r="A69" s="13" t="inlineStr">
        <is>
          <t>7.6</t>
        </is>
      </c>
      <c r="B69" s="14" t="inlineStr">
        <is>
          <t>Ongoing Support Required?:</t>
        </is>
      </c>
      <c r="C69" s="18" t="inlineStr">
        <is>
          <t>[SELECT: Yes — Monthly | Yes — Quarterly | Ad-hoc | No]</t>
        </is>
      </c>
    </row>
    <row r="70">
      <c r="A70" s="13" t="inlineStr"/>
      <c r="B70" s="14" t="inlineStr"/>
      <c r="C70" s="14" t="inlineStr"/>
    </row>
    <row r="71">
      <c r="A71" s="10" t="inlineStr">
        <is>
          <t>8</t>
        </is>
      </c>
      <c r="B71" s="11" t="inlineStr">
        <is>
          <t>8. BUDGET &amp; COSTS</t>
        </is>
      </c>
      <c r="C71" s="12" t="inlineStr"/>
    </row>
    <row r="72">
      <c r="A72" s="13" t="inlineStr">
        <is>
          <t>8.1</t>
        </is>
      </c>
      <c r="B72" s="14" t="inlineStr">
        <is>
          <t>Budget Range:</t>
        </is>
      </c>
      <c r="C72" s="38" t="inlineStr">
        <is>
          <t>[SELECT: &lt;$50K | $50-100K | $100-250K | $250-500K | $500K-1M | $1M+ | Not Disclosed]
Ex1 (A9): $250K–$500K — multi-country, multi-phase mixed methods program across 8 markets ; Ex2 (A10): $50K–$100K — single-country pilot study with diary component ; Ex3 (A13): $500K–$1M — three separate therapeutic area studies, each with 2-stage methodology across 7+ markets ; Ex4 (A1): $1M+ — continuous multi-market tracking programme over 2+ year contract</t>
        </is>
      </c>
    </row>
    <row r="73">
      <c r="A73" s="13" t="inlineStr">
        <is>
          <t>8.2</t>
        </is>
      </c>
      <c r="B73" s="14" t="inlineStr">
        <is>
          <t>Currency:</t>
        </is>
      </c>
      <c r="C73" s="38" t="inlineStr">
        <is>
          <t>[SELECT: USD | EUR | GBP | CHF | JPY | Multi-currency]
Ex1 (A9): USD — all costs to be quoted in US dollars ; Ex2 (A3): EUR — all supplier quotations must be submitted in EURO ; Ex3 (A4): GBP — sample project pricing in British pounds ; Ex4 (A13): USD — with note that local market costs may be converted at proposal-date exchange rates</t>
        </is>
      </c>
    </row>
    <row r="74">
      <c r="A74" s="13" t="inlineStr">
        <is>
          <t>8.3</t>
        </is>
      </c>
      <c r="B74" s="14" t="inlineStr">
        <is>
          <t>Payment Terms:</t>
        </is>
      </c>
      <c r="C74" s="38" t="inlineStr">
        <is>
          <t>[SELECT: 50/50 | 60/40 | Milestone-based | NET 30 | NET 60 | NET 120]
Ex1 (A9): NET 60 days — standard payment terms ; Ex2 (A3): NET 60 days — except where local legislation requires shorter terms ; Ex3 (A13): 33% / 33% / 34% milestone-based — upon contract signing, interim deliverable, and final deliverable ; Ex4 (A10): 50% upfront / 50% on completion — for projects under $100K</t>
        </is>
      </c>
    </row>
    <row r="75">
      <c r="A75" s="13" t="inlineStr">
        <is>
          <t>8.4</t>
        </is>
      </c>
      <c r="B75" s="14" t="inlineStr">
        <is>
          <t>Cost Breakdown Required?:</t>
        </is>
      </c>
      <c r="C75" s="18" t="inlineStr">
        <is>
          <t>[SELECT: Yes — use Cost Breakdown tab | Yes — vendor format | No]</t>
        </is>
      </c>
    </row>
    <row r="76">
      <c r="A76" s="13" t="inlineStr">
        <is>
          <t>8.5</t>
        </is>
      </c>
      <c r="B76" s="14" t="inlineStr">
        <is>
          <t>Receipt/Documentation Policy:</t>
        </is>
      </c>
      <c r="C76" s="37" t="inlineStr">
        <is>
          <t>[ENTER: e.g., 'We retain the right to request receipts']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row>
    <row r="77">
      <c r="A77" s="13" t="inlineStr"/>
      <c r="B77" s="14" t="inlineStr"/>
      <c r="C77" s="14" t="inlineStr"/>
    </row>
    <row r="78">
      <c r="A78" s="10" t="inlineStr">
        <is>
          <t>9</t>
        </is>
      </c>
      <c r="B78" s="11" t="inlineStr">
        <is>
          <t>9. COMPLIANCE &amp; POLICIES</t>
        </is>
      </c>
      <c r="C78" s="12" t="inlineStr"/>
    </row>
    <row r="79">
      <c r="A79" s="13" t="inlineStr">
        <is>
          <t>9.1</t>
        </is>
      </c>
      <c r="B79" s="14" t="inlineStr">
        <is>
          <t>Confidentiality Agreement Required?:</t>
        </is>
      </c>
      <c r="C79" s="18" t="inlineStr">
        <is>
          <t>[SELECT: Yes — NDA | Yes — MSA | No]</t>
        </is>
      </c>
    </row>
    <row r="80">
      <c r="A80" s="13" t="inlineStr">
        <is>
          <t>9.2</t>
        </is>
      </c>
      <c r="B80" s="14" t="inlineStr">
        <is>
          <t>Industry Guidelines:</t>
        </is>
      </c>
      <c r="C80" s="38" t="inlineStr">
        <is>
          <t>[SELECT: CASRO | ESOMAR | BHBIA | EphMRA | Multiple | None specified]
Ex1 (A13): The [CLIENT_ORG] Internal Control Assessment department (ICA) oversees an internal audit effort relating to all Sarbanes-Oxley section 404 compliance. Each area of services has specific written SOPs a ; Ex2 (A12): Research agencies should comply with all CASRO guidelines (Council of American Survey Research Organization). Also note that the client is a member of the European Pharmaceutical Research Association  ; Ex3 (A8): All fieldwork must comply with local pharmaceutical marketing codes, BHBIA guidelines, and MRS Code of Conduct. Adverse events must be reported within 24 hours.</t>
        </is>
      </c>
    </row>
    <row r="81">
      <c r="A81" s="13" t="inlineStr">
        <is>
          <t>9.3</t>
        </is>
      </c>
      <c r="B81" s="14" t="inlineStr">
        <is>
          <t>Adverse Event Reporting:</t>
        </is>
      </c>
      <c r="C81" s="18" t="inlineStr">
        <is>
          <t>[SELECT: Required | Not applicable]</t>
        </is>
      </c>
    </row>
    <row r="82">
      <c r="A82" s="13" t="inlineStr">
        <is>
          <t>9.4</t>
        </is>
      </c>
      <c r="B82" s="14" t="inlineStr">
        <is>
          <t>Data Privacy (GDPR):</t>
        </is>
      </c>
      <c r="C82" s="18" t="inlineStr">
        <is>
          <t>[SELECT: Required | Not applicable]</t>
        </is>
      </c>
    </row>
    <row r="83">
      <c r="A83" s="13" t="inlineStr">
        <is>
          <t>9.5</t>
        </is>
      </c>
      <c r="B83" s="14" t="inlineStr">
        <is>
          <t>Regulatory Review of Materials:</t>
        </is>
      </c>
      <c r="C83" s="18" t="inlineStr">
        <is>
          <t>[SELECT: Required | Not required]</t>
        </is>
      </c>
    </row>
    <row r="84">
      <c r="A84" s="13" t="inlineStr">
        <is>
          <t>9.6</t>
        </is>
      </c>
      <c r="B84" s="14" t="inlineStr">
        <is>
          <t>Subcontractor Disclosure:</t>
        </is>
      </c>
      <c r="C84" s="18" t="inlineStr">
        <is>
          <t>[SELECT: Required | Not required]</t>
        </is>
      </c>
    </row>
  </sheetData>
  <dataValidations count="22">
    <dataValidation sqref="C17" showDropDown="0" showInputMessage="0" showErrorMessage="0" allowBlank="1" errorTitle="Invalid Selection" error="Please select from the dropdown" promptTitle="Selection Required" prompt="Select from dropdown" type="list">
      <formula1>"Yes,No"</formula1>
    </dataValidation>
    <dataValidation sqref="C30" showDropDown="0" showInputMessage="0" showErrorMessage="0" allowBlank="1" errorTitle="Invalid Selection" error="Please select from the dropdown" promptTitle="Selection Required" prompt="Select from dropdown" type="list">
      <formula1>"Oncology,Immunology,CV,Diabetes,Neuro,Respiratory,Derm,Rare Disease,Vaccines,Consumer HC,Animal Health,MedDev,Other"</formula1>
    </dataValidation>
    <dataValidation sqref="C31" showDropDown="0" showInputMessage="0" showErrorMessage="0" allowBlank="1" errorTitle="Invalid Selection" error="Please select from the dropdown" promptTitle="Selection Required" prompt="Select from dropdown" type="list">
      <formula1>"Pre-launch,Launch,Year 1-2,Growth,LOE,Portfolio"</formula1>
    </dataValidation>
    <dataValidation sqref="C44" showDropDown="0" showInputMessage="0" showErrorMessage="0" allowBlank="1" errorTitle="Invalid Selection" error="Please select from the dropdown" promptTitle="Selection Required" prompt="Select from dropdown" type="list">
      <formula1>"Quant (CAWI/CAPI/CATI),Qual (IDIs/FGs),Mixed,Chart Review,Conjoint/DCE,Tracking,Diary,Delphi,Advisory Board"</formula1>
    </dataValidation>
    <dataValidation sqref="C46" showDropDown="0" showInputMessage="0" showErrorMessage="0" allowBlank="1" errorTitle="Invalid Selection" error="Please select from the dropdown" promptTitle="Selection Required" prompt="Select from dropdown" type="list">
      <formula1>"1,2,3,4+"</formula1>
    </dataValidation>
    <dataValidation sqref="C50" showDropDown="0" showInputMessage="0" showErrorMessage="0" allowBlank="1" errorTitle="Invalid Selection" error="Please select from the dropdown" promptTitle="Selection Required" prompt="Select from dropdown" type="list">
      <formula1>"Single Country,Multi-Country Regional,Multi-Country Global"</formula1>
    </dataValidation>
    <dataValidation sqref="C57" showDropDown="0" showInputMessage="0" showErrorMessage="0" allowBlank="1" errorTitle="Invalid Selection" error="Please select from the dropdown" promptTitle="Selection Required" prompt="Select from dropdown" type="list">
      <formula1>"Physicians (Specialist),Physicians (GP),Nurses,Pharmacists,Payers,Patients,Consumers,Caregivers,Hospital Admin,KOLs,Vets,Multiple"</formula1>
    </dataValidation>
    <dataValidation sqref="C60" showDropDown="0" showInputMessage="0" showErrorMessage="0" allowBlank="1" errorTitle="Invalid Selection" error="Please select from the dropdown" promptTitle="Selection Required" prompt="Select from dropdown" type="list">
      <formula1>"Online Panel,Client List,Free-Find,Referral,Mixed"</formula1>
    </dataValidation>
    <dataValidation sqref="C65" showDropDown="0" showInputMessage="0" showErrorMessage="0" allowBlank="1" errorTitle="Invalid Selection" error="Please select from the dropdown" promptTitle="Selection Required" prompt="Select from dropdown" type="list">
      <formula1>"PowerPoint,Word,PDF,Dashboard,Multiple"</formula1>
    </dataValidation>
    <dataValidation sqref="C66" showDropDown="0" showInputMessage="0" showErrorMessage="0" allowBlank="1" errorTitle="Invalid Selection" error="Please select from the dropdown" promptTitle="Selection Required" prompt="Select from dropdown" type="list">
      <formula1>"Yes — In Person,Yes — Virtual,No"</formula1>
    </dataValidation>
    <dataValidation sqref="C68" showDropDown="0" showInputMessage="0" showErrorMessage="0" allowBlank="1" errorTitle="Invalid Selection" error="Please select from the dropdown" promptTitle="Selection Required" prompt="Select from dropdown" type="list">
      <formula1>"Yes (SPSS),Yes (CSV),Yes (Excel),No"</formula1>
    </dataValidation>
    <dataValidation sqref="C69" showDropDown="0" showInputMessage="0" showErrorMessage="0" allowBlank="1" errorTitle="Invalid Selection" error="Please select from the dropdown" promptTitle="Selection Required" prompt="Select from dropdown" type="list">
      <formula1>"Yes — Monthly,Yes — Quarterly,Ad-hoc,No"</formula1>
    </dataValidation>
    <dataValidation sqref="C72" showDropDown="0" showInputMessage="0" showErrorMessage="0" allowBlank="1" errorTitle="Invalid Selection" error="Please select from the dropdown" promptTitle="Selection Required" prompt="Select from dropdown" type="list">
      <formula1>"&lt;$50K,$50-100K,$100-250K,$250-500K,$500K-1M,$1M+,Not Disclosed"</formula1>
    </dataValidation>
    <dataValidation sqref="C73" showDropDown="0" showInputMessage="0" showErrorMessage="0" allowBlank="1" errorTitle="Invalid Selection" error="Please select from the dropdown" promptTitle="Selection Required" prompt="Select from dropdown" type="list">
      <formula1>"USD,EUR,GBP,CHF,JPY,Multi-currency"</formula1>
    </dataValidation>
    <dataValidation sqref="C74" showDropDown="0" showInputMessage="0" showErrorMessage="0" allowBlank="1" errorTitle="Invalid Selection" error="Please select from the dropdown" promptTitle="Selection Required" prompt="Select from dropdown" type="list">
      <formula1>"50/50,60/40,Milestone-based,NET 30,NET 60,NET 120"</formula1>
    </dataValidation>
    <dataValidation sqref="C75" showDropDown="0" showInputMessage="0" showErrorMessage="0" allowBlank="1" errorTitle="Invalid Selection" error="Please select from the dropdown" promptTitle="Selection Required" prompt="Select from dropdown" type="list">
      <formula1>"Yes — use Cost Breakdown tab,Yes — vendor format,No"</formula1>
    </dataValidation>
    <dataValidation sqref="C79" showDropDown="0" showInputMessage="0" showErrorMessage="0" allowBlank="1" errorTitle="Invalid Selection" error="Please select from the dropdown" promptTitle="Selection Required" prompt="Select from dropdown" type="list">
      <formula1>"Yes — NDA,Yes — MSA,No"</formula1>
    </dataValidation>
    <dataValidation sqref="C80" showDropDown="0" showInputMessage="0" showErrorMessage="0" allowBlank="1" errorTitle="Invalid Selection" error="Please select from the dropdown" promptTitle="Selection Required" prompt="Select from dropdown" type="list">
      <formula1>"CASRO,ESOMAR,BHBIA,EphMRA,Multiple,None specified"</formula1>
    </dataValidation>
    <dataValidation sqref="C81" showDropDown="0" showInputMessage="0" showErrorMessage="0" allowBlank="1" errorTitle="Invalid Selection" error="Please select from the dropdown" promptTitle="Selection Required" prompt="Select from dropdown" type="list">
      <formula1>"Required,Not applicable"</formula1>
    </dataValidation>
    <dataValidation sqref="C82" showDropDown="0" showInputMessage="0" showErrorMessage="0" allowBlank="1" errorTitle="Invalid Selection" error="Please select from the dropdown" promptTitle="Selection Required" prompt="Select from dropdown" type="list">
      <formula1>"Required,Not applicable"</formula1>
    </dataValidation>
    <dataValidation sqref="C83" showDropDown="0" showInputMessage="0" showErrorMessage="0" allowBlank="1" errorTitle="Invalid Selection" error="Please select from the dropdown" promptTitle="Selection Required" prompt="Select from dropdown" type="list">
      <formula1>"Required,Not required"</formula1>
    </dataValidation>
    <dataValidation sqref="C84" showDropDown="0" showInputMessage="0" showErrorMessage="0" allowBlank="1" errorTitle="Invalid Selection" error="Please select from the dropdown" promptTitle="Selection Required" prompt="Select from dropdown" type="list">
      <formula1>"Required,Not required"</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G51"/>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 width="15" customWidth="1" min="5" max="5"/>
    <col width="12" customWidth="1" min="6" max="6"/>
    <col width="35" customWidth="1" min="7" max="7"/>
  </cols>
  <sheetData>
    <row r="1">
      <c r="A1" s="2" t="inlineStr">
        <is>
          <t>COST BREAKDOWN TEMPLATE — Complete one per research stage / therapy area / audience</t>
        </is>
      </c>
    </row>
    <row r="2">
      <c r="A2" s="19" t="inlineStr">
        <is>
          <t>Instructions: Fill in costs per line item. Add rows as needed. Provide separate sheets for each therapy area or research stage if applicable. Based on cost structures from RFP-A4, RFP-A10, RFP-A12, RFP-A13.</t>
        </is>
      </c>
      <c r="B2" s="26" t="n"/>
      <c r="C2" s="26" t="n"/>
      <c r="D2" s="26" t="n"/>
      <c r="E2" s="26" t="n"/>
      <c r="F2" s="26" t="n"/>
      <c r="G2" s="27" t="n"/>
    </row>
    <row r="3"/>
    <row r="4">
      <c r="A4" s="9" t="inlineStr">
        <is>
          <t>Cost Category</t>
        </is>
      </c>
      <c r="B4" s="9" t="inlineStr">
        <is>
          <t>Cost Driver / Line Item</t>
        </is>
      </c>
      <c r="C4" s="9" t="inlineStr">
        <is>
          <t>Unit Cost</t>
        </is>
      </c>
      <c r="D4" s="9" t="inlineStr">
        <is>
          <t>Quantity</t>
        </is>
      </c>
      <c r="E4" s="9" t="inlineStr">
        <is>
          <t>Total Cost</t>
        </is>
      </c>
      <c r="F4" s="9" t="inlineStr">
        <is>
          <t>Currency</t>
        </is>
      </c>
      <c r="G4" s="9" t="inlineStr">
        <is>
          <t>Notes</t>
        </is>
      </c>
    </row>
    <row r="5">
      <c r="A5" s="20" t="inlineStr">
        <is>
          <t>A. Project Initiation</t>
        </is>
      </c>
      <c r="B5" s="20" t="inlineStr"/>
      <c r="C5" s="20" t="inlineStr"/>
      <c r="D5" s="20" t="inlineStr"/>
      <c r="E5" s="20" t="inlineStr"/>
      <c r="F5" s="20" t="inlineStr"/>
      <c r="G5" s="20" t="inlineStr"/>
    </row>
    <row r="6">
      <c r="A6" s="14" t="inlineStr"/>
      <c r="B6" s="14" t="inlineStr">
        <is>
          <t>Project design &amp; methodology</t>
        </is>
      </c>
      <c r="C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6" s="33" t="inlineStr">
        <is>
          <t>[ENTER]
Ex1 (A10): 6 months ; Ex2 (A9): 8 countries</t>
        </is>
      </c>
      <c r="E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6" s="18" t="inlineStr">
        <is>
          <t>[SELECT: USD|EUR|GBP]
Ex1 (A9): USD — all costs to be quoted in US dollars ; Ex2 (A3): EUR — all supplier quotations must be submitted in EURO ; Ex3 (A4): GBP — sample project pricing in British pounds ; Ex4 (A13): USD — with note that local market costs may be converted at proposal-date exchange rates</t>
        </is>
      </c>
      <c r="G6" s="14" t="inlineStr"/>
    </row>
    <row r="7">
      <c r="A7" s="14" t="inlineStr"/>
      <c r="B7" s="14" t="inlineStr">
        <is>
          <t>Proposal development</t>
        </is>
      </c>
      <c r="C7"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7" s="33" t="inlineStr">
        <is>
          <t>[ENTER]
Ex1 (A10): 6 months ; Ex2 (A9): 8 countries</t>
        </is>
      </c>
      <c r="E7"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7" s="14" t="inlineStr"/>
      <c r="G7" s="14" t="inlineStr"/>
    </row>
    <row r="8">
      <c r="A8" s="14" t="inlineStr"/>
      <c r="B8" s="14" t="inlineStr">
        <is>
          <t>Questionnaire / guide development</t>
        </is>
      </c>
      <c r="C8"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8" s="33" t="inlineStr">
        <is>
          <t>[ENTER]
Ex1 (A10): 6 months ; Ex2 (A9): 8 countries</t>
        </is>
      </c>
      <c r="E8"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8" s="14" t="inlineStr"/>
      <c r="G8" s="14" t="inlineStr"/>
    </row>
    <row r="9">
      <c r="A9" s="14" t="inlineStr"/>
      <c r="B9" s="14" t="inlineStr">
        <is>
          <t>Questionnaire programming</t>
        </is>
      </c>
      <c r="C9"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9" s="33" t="inlineStr">
        <is>
          <t>[ENTER]
Ex1 (A10): 6 months ; Ex2 (A9): 8 countries</t>
        </is>
      </c>
      <c r="E9"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9" s="14" t="inlineStr"/>
      <c r="G9" s="14" t="inlineStr"/>
    </row>
    <row r="10">
      <c r="A10" s="14" t="inlineStr"/>
      <c r="B10" s="14" t="inlineStr">
        <is>
          <t>Translation / localization</t>
        </is>
      </c>
      <c r="C10"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10" s="33" t="inlineStr">
        <is>
          <t>[ENTER]
Ex1 (A10): 6 months ; Ex2 (A9): 8 countries</t>
        </is>
      </c>
      <c r="E10"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10" s="14" t="inlineStr"/>
      <c r="G10" s="15" t="inlineStr">
        <is>
          <t>[ENTER # languages]</t>
        </is>
      </c>
    </row>
    <row r="11">
      <c r="A11" s="14" t="inlineStr"/>
      <c r="B11" s="14" t="inlineStr"/>
      <c r="C11" s="14" t="inlineStr"/>
      <c r="D11" s="14" t="inlineStr"/>
      <c r="E11" s="14" t="inlineStr"/>
      <c r="F11" s="14" t="inlineStr"/>
      <c r="G11" s="14" t="inlineStr"/>
    </row>
    <row r="12">
      <c r="A12" s="20" t="inlineStr">
        <is>
          <t>B. Fieldwork Preparation</t>
        </is>
      </c>
      <c r="B12" s="20" t="inlineStr"/>
      <c r="C12" s="20" t="inlineStr"/>
      <c r="D12" s="20" t="inlineStr"/>
      <c r="E12" s="20" t="inlineStr"/>
      <c r="F12" s="20" t="inlineStr"/>
      <c r="G12" s="20" t="inlineStr"/>
    </row>
    <row r="13">
      <c r="A13" s="14" t="inlineStr"/>
      <c r="B13" s="14" t="inlineStr">
        <is>
          <t>Scheduling / logistics</t>
        </is>
      </c>
      <c r="C13"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13" s="33" t="inlineStr">
        <is>
          <t>[ENTER]
Ex1 (A10): 6 months ; Ex2 (A9): 8 countries</t>
        </is>
      </c>
      <c r="E13"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13" s="14" t="inlineStr"/>
      <c r="G13" s="14" t="inlineStr"/>
    </row>
    <row r="14">
      <c r="A14" s="14" t="inlineStr"/>
      <c r="B14" s="14" t="inlineStr">
        <is>
          <t>Interviewer briefing &amp; instructions</t>
        </is>
      </c>
      <c r="C14"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14" s="33" t="inlineStr">
        <is>
          <t>[ENTER]
Ex1 (A10): 6 months ; Ex2 (A9): 8 countries</t>
        </is>
      </c>
      <c r="E14"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14" s="14" t="inlineStr"/>
      <c r="G14" s="14" t="inlineStr"/>
    </row>
    <row r="15">
      <c r="A15" s="14" t="inlineStr"/>
      <c r="B15" s="14" t="inlineStr">
        <is>
          <t>Print / mail / materials</t>
        </is>
      </c>
      <c r="C15"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15" s="33" t="inlineStr">
        <is>
          <t>[ENTER]
Ex1 (A10): 6 months ; Ex2 (A9): 8 countries</t>
        </is>
      </c>
      <c r="E15"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15" s="14" t="inlineStr"/>
      <c r="G15" s="14" t="inlineStr"/>
    </row>
    <row r="16">
      <c r="A16" s="14" t="inlineStr"/>
      <c r="B16" s="14" t="inlineStr">
        <is>
          <t>Pilot / soft launch</t>
        </is>
      </c>
      <c r="C1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16" s="33" t="inlineStr">
        <is>
          <t>[ENTER]
Ex1 (A10): 6 months ; Ex2 (A9): 8 countries</t>
        </is>
      </c>
      <c r="E1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16" s="14" t="inlineStr"/>
      <c r="G16" s="14" t="inlineStr"/>
    </row>
    <row r="17">
      <c r="A17" s="14" t="inlineStr"/>
      <c r="B17" s="14" t="inlineStr"/>
      <c r="C17" s="14" t="inlineStr"/>
      <c r="D17" s="14" t="inlineStr"/>
      <c r="E17" s="14" t="inlineStr"/>
      <c r="F17" s="14" t="inlineStr"/>
      <c r="G17" s="14" t="inlineStr"/>
    </row>
    <row r="18">
      <c r="A18" s="20" t="inlineStr">
        <is>
          <t>C. Fieldwork</t>
        </is>
      </c>
      <c r="B18" s="20" t="inlineStr"/>
      <c r="C18" s="20" t="inlineStr"/>
      <c r="D18" s="20" t="inlineStr"/>
      <c r="E18" s="20" t="inlineStr"/>
      <c r="F18" s="20" t="inlineStr"/>
      <c r="G18" s="20" t="inlineStr"/>
    </row>
    <row r="19">
      <c r="A19" s="14" t="inlineStr"/>
      <c r="B19" s="14" t="inlineStr">
        <is>
          <t>Recruitment / screening</t>
        </is>
      </c>
      <c r="C19"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19" s="33" t="inlineStr">
        <is>
          <t>[ENTER]
Ex1 (A10): 6 months ; Ex2 (A9): 8 countries</t>
        </is>
      </c>
      <c r="E19"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19" s="14" t="inlineStr"/>
      <c r="G19" s="15" t="inlineStr">
        <is>
          <t>[ENTER CPI per market]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row>
    <row r="20">
      <c r="A20" s="14" t="inlineStr"/>
      <c r="B20" s="14" t="inlineStr">
        <is>
          <t>Data collection (interviewing)</t>
        </is>
      </c>
      <c r="C20"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20" s="33" t="inlineStr">
        <is>
          <t>[ENTER]
Ex1 (A10): 6 months ; Ex2 (A9): 8 countries</t>
        </is>
      </c>
      <c r="E20"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20" s="14" t="inlineStr"/>
      <c r="G20" s="14" t="inlineStr"/>
    </row>
    <row r="21">
      <c r="A21" s="14" t="inlineStr"/>
      <c r="B21" s="14" t="inlineStr">
        <is>
          <t>Respondent incentives / honoraria</t>
        </is>
      </c>
      <c r="C21"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21" s="33" t="inlineStr">
        <is>
          <t>[ENTER]
Ex1 (A10): 6 months ; Ex2 (A9): 8 countries</t>
        </is>
      </c>
      <c r="E21"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21" s="14" t="inlineStr"/>
      <c r="G21" s="15" t="inlineStr">
        <is>
          <t>[ENTER per-respondent amount]</t>
        </is>
      </c>
    </row>
    <row r="22">
      <c r="A22" s="14" t="inlineStr"/>
      <c r="B22" s="14" t="inlineStr">
        <is>
          <t>Validation / quality control</t>
        </is>
      </c>
      <c r="C22"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22" s="33" t="inlineStr">
        <is>
          <t>[ENTER]
Ex1 (A10): 6 months ; Ex2 (A9): 8 countries</t>
        </is>
      </c>
      <c r="E22"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22" s="14" t="inlineStr"/>
      <c r="G22" s="14" t="inlineStr"/>
    </row>
    <row r="23">
      <c r="A23" s="14" t="inlineStr"/>
      <c r="B23" s="14" t="inlineStr">
        <is>
          <t>Compliance / monitoring</t>
        </is>
      </c>
      <c r="C23"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23" s="33" t="inlineStr">
        <is>
          <t>[ENTER]
Ex1 (A10): 6 months ; Ex2 (A9): 8 countries</t>
        </is>
      </c>
      <c r="E23"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23" s="14" t="inlineStr"/>
      <c r="G23" s="14" t="inlineStr"/>
    </row>
    <row r="24">
      <c r="A24" s="14" t="inlineStr"/>
      <c r="B24" s="14" t="inlineStr"/>
      <c r="C24" s="14" t="inlineStr"/>
      <c r="D24" s="14" t="inlineStr"/>
      <c r="E24" s="14" t="inlineStr"/>
      <c r="F24" s="14" t="inlineStr"/>
      <c r="G24" s="14" t="inlineStr"/>
    </row>
    <row r="25">
      <c r="A25" s="20" t="inlineStr">
        <is>
          <t>D. Data Processing</t>
        </is>
      </c>
      <c r="B25" s="20" t="inlineStr"/>
      <c r="C25" s="20" t="inlineStr"/>
      <c r="D25" s="20" t="inlineStr"/>
      <c r="E25" s="20" t="inlineStr"/>
      <c r="F25" s="20" t="inlineStr"/>
      <c r="G25" s="20" t="inlineStr"/>
    </row>
    <row r="26">
      <c r="A26" s="14" t="inlineStr"/>
      <c r="B26" s="14" t="inlineStr">
        <is>
          <t>Code building</t>
        </is>
      </c>
      <c r="C2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26" s="33" t="inlineStr">
        <is>
          <t>[ENTER]
Ex1 (A10): 6 months ; Ex2 (A9): 8 countries</t>
        </is>
      </c>
      <c r="E2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26" s="14" t="inlineStr"/>
      <c r="G26" s="14" t="inlineStr"/>
    </row>
    <row r="27">
      <c r="A27" s="14" t="inlineStr"/>
      <c r="B27" s="14" t="inlineStr">
        <is>
          <t>Coding (open-ends)</t>
        </is>
      </c>
      <c r="C27"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27" s="33" t="inlineStr">
        <is>
          <t>[ENTER]
Ex1 (A10): 6 months ; Ex2 (A9): 8 countries</t>
        </is>
      </c>
      <c r="E27"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27" s="14" t="inlineStr"/>
      <c r="G27" s="14" t="inlineStr"/>
    </row>
    <row r="28">
      <c r="A28" s="14" t="inlineStr"/>
      <c r="B28" s="14" t="inlineStr">
        <is>
          <t>Data entry / cleaning</t>
        </is>
      </c>
      <c r="C28"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28" s="33" t="inlineStr">
        <is>
          <t>[ENTER]
Ex1 (A10): 6 months ; Ex2 (A9): 8 countries</t>
        </is>
      </c>
      <c r="E28"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28" s="14" t="inlineStr"/>
      <c r="G28" s="14" t="inlineStr"/>
    </row>
    <row r="29">
      <c r="A29" s="14" t="inlineStr"/>
      <c r="B29" s="14" t="inlineStr">
        <is>
          <t>Tabulation / cross-tabs</t>
        </is>
      </c>
      <c r="C29"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29" s="33" t="inlineStr">
        <is>
          <t>[ENTER]
Ex1 (A10): 6 months ; Ex2 (A9): 8 countries</t>
        </is>
      </c>
      <c r="E29"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29" s="14" t="inlineStr"/>
      <c r="G29" s="14" t="inlineStr"/>
    </row>
    <row r="30">
      <c r="A30" s="14" t="inlineStr"/>
      <c r="B30" s="14" t="inlineStr"/>
      <c r="C30" s="14" t="inlineStr"/>
      <c r="D30" s="14" t="inlineStr"/>
      <c r="E30" s="14" t="inlineStr"/>
      <c r="F30" s="14" t="inlineStr"/>
      <c r="G30" s="14" t="inlineStr"/>
    </row>
    <row r="31">
      <c r="A31" s="20" t="inlineStr">
        <is>
          <t>E. Analytics &amp; Reporting</t>
        </is>
      </c>
      <c r="B31" s="20" t="inlineStr"/>
      <c r="C31" s="20" t="inlineStr"/>
      <c r="D31" s="20" t="inlineStr"/>
      <c r="E31" s="20" t="inlineStr"/>
      <c r="F31" s="20" t="inlineStr"/>
      <c r="G31" s="20" t="inlineStr"/>
    </row>
    <row r="32">
      <c r="A32" s="14" t="inlineStr"/>
      <c r="B32" s="14" t="inlineStr">
        <is>
          <t>Statistical analysis</t>
        </is>
      </c>
      <c r="C32"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32" s="33" t="inlineStr">
        <is>
          <t>[ENTER]
Ex1 (A10): 6 months ; Ex2 (A9): 8 countries</t>
        </is>
      </c>
      <c r="E32"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32" s="14" t="inlineStr"/>
      <c r="G32" s="14" t="inlineStr"/>
    </row>
    <row r="33">
      <c r="A33" s="14" t="inlineStr"/>
      <c r="B33" s="14" t="inlineStr">
        <is>
          <t>Conjoint / modeling (if applicable)</t>
        </is>
      </c>
      <c r="C33"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33" s="33" t="inlineStr">
        <is>
          <t>[ENTER]
Ex1 (A10): 6 months ; Ex2 (A9): 8 countries</t>
        </is>
      </c>
      <c r="E33"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33" s="14" t="inlineStr"/>
      <c r="G33" s="14" t="inlineStr"/>
    </row>
    <row r="34">
      <c r="A34" s="14" t="inlineStr"/>
      <c r="B34" s="14" t="inlineStr">
        <is>
          <t>Report writing</t>
        </is>
      </c>
      <c r="C34"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34" s="33" t="inlineStr">
        <is>
          <t>[ENTER]
Ex1 (A10): 6 months ; Ex2 (A9): 8 countries</t>
        </is>
      </c>
      <c r="E34"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34" s="14" t="inlineStr"/>
      <c r="G34" s="14" t="inlineStr"/>
    </row>
    <row r="35">
      <c r="A35" s="14" t="inlineStr"/>
      <c r="B35" s="14" t="inlineStr">
        <is>
          <t>Dashboard / interactive tool</t>
        </is>
      </c>
      <c r="C35"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35" s="33" t="inlineStr">
        <is>
          <t>[ENTER]
Ex1 (A10): 6 months ; Ex2 (A9): 8 countries</t>
        </is>
      </c>
      <c r="E35"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35" s="14" t="inlineStr"/>
      <c r="G35" s="14" t="inlineStr"/>
    </row>
    <row r="36">
      <c r="A36" s="14" t="inlineStr"/>
      <c r="B36" s="14" t="inlineStr">
        <is>
          <t>Simulator model</t>
        </is>
      </c>
      <c r="C3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36" s="33" t="inlineStr">
        <is>
          <t>[ENTER]
Ex1 (A10): 6 months ; Ex2 (A9): 8 countries</t>
        </is>
      </c>
      <c r="E3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36" s="14" t="inlineStr"/>
      <c r="G36" s="14" t="inlineStr"/>
    </row>
    <row r="37">
      <c r="A37" s="14" t="inlineStr"/>
      <c r="B37" s="14" t="inlineStr"/>
      <c r="C37" s="14" t="inlineStr"/>
      <c r="D37" s="14" t="inlineStr"/>
      <c r="E37" s="14" t="inlineStr"/>
      <c r="F37" s="14" t="inlineStr"/>
      <c r="G37" s="14" t="inlineStr"/>
    </row>
    <row r="38">
      <c r="A38" s="20" t="inlineStr">
        <is>
          <t>F. Presentation &amp; Travel</t>
        </is>
      </c>
      <c r="B38" s="20" t="inlineStr"/>
      <c r="C38" s="20" t="inlineStr"/>
      <c r="D38" s="20" t="inlineStr"/>
      <c r="E38" s="20" t="inlineStr"/>
      <c r="F38" s="20" t="inlineStr"/>
      <c r="G38" s="20" t="inlineStr"/>
    </row>
    <row r="39">
      <c r="A39" s="14" t="inlineStr"/>
      <c r="B39" s="14" t="inlineStr">
        <is>
          <t>In-person presentation</t>
        </is>
      </c>
      <c r="C39"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39" s="33" t="inlineStr">
        <is>
          <t>[ENTER]
Ex1 (A10): 6 months ; Ex2 (A9): 8 countries</t>
        </is>
      </c>
      <c r="E39"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39" s="14" t="inlineStr"/>
      <c r="G39" s="14" t="inlineStr"/>
    </row>
    <row r="40">
      <c r="A40" s="14" t="inlineStr"/>
      <c r="B40" s="14" t="inlineStr">
        <is>
          <t>Travel expenses (flights)</t>
        </is>
      </c>
      <c r="C40"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40" s="33" t="inlineStr">
        <is>
          <t>[ENTER]
Ex1 (A10): 6 months ; Ex2 (A9): 8 countries</t>
        </is>
      </c>
      <c r="E40"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40" s="14" t="inlineStr"/>
      <c r="G40" s="14" t="inlineStr"/>
    </row>
    <row r="41">
      <c r="A41" s="14" t="inlineStr"/>
      <c r="B41" s="14" t="inlineStr">
        <is>
          <t>Travel expenses (hotel)</t>
        </is>
      </c>
      <c r="C41"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41" s="33" t="inlineStr">
        <is>
          <t>[ENTER]
Ex1 (A10): 6 months ; Ex2 (A9): 8 countries</t>
        </is>
      </c>
      <c r="E41"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41" s="14" t="inlineStr"/>
      <c r="G41" s="14" t="inlineStr"/>
    </row>
    <row r="42">
      <c r="A42" s="14" t="inlineStr"/>
      <c r="B42" s="14" t="inlineStr">
        <is>
          <t>Travel expenses (other)</t>
        </is>
      </c>
      <c r="C42"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42" s="33" t="inlineStr">
        <is>
          <t>[ENTER]
Ex1 (A10): 6 months ; Ex2 (A9): 8 countries</t>
        </is>
      </c>
      <c r="E42"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42" s="14" t="inlineStr"/>
      <c r="G42" s="14" t="inlineStr"/>
    </row>
    <row r="43">
      <c r="A43" s="14" t="inlineStr"/>
      <c r="B43" s="14" t="inlineStr"/>
      <c r="C43" s="14" t="inlineStr"/>
      <c r="D43" s="14" t="inlineStr"/>
      <c r="E43" s="14" t="inlineStr"/>
      <c r="F43" s="14" t="inlineStr"/>
      <c r="G43" s="14" t="inlineStr"/>
    </row>
    <row r="44">
      <c r="A44" s="20" t="inlineStr">
        <is>
          <t>G. Overheads &amp; Management</t>
        </is>
      </c>
      <c r="B44" s="20" t="inlineStr"/>
      <c r="C44" s="20" t="inlineStr"/>
      <c r="D44" s="20" t="inlineStr"/>
      <c r="E44" s="20" t="inlineStr"/>
      <c r="F44" s="20" t="inlineStr"/>
      <c r="G44" s="20" t="inlineStr"/>
    </row>
    <row r="45">
      <c r="A45" s="14" t="inlineStr"/>
      <c r="B45" s="14" t="inlineStr">
        <is>
          <t>Project management</t>
        </is>
      </c>
      <c r="C45"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45" s="33" t="inlineStr">
        <is>
          <t>[ENTER]
Ex1 (A10): 6 months ; Ex2 (A9): 8 countries</t>
        </is>
      </c>
      <c r="E45"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45" s="14" t="inlineStr"/>
      <c r="G45" s="14" t="inlineStr"/>
    </row>
    <row r="46">
      <c r="A46" s="14" t="inlineStr"/>
      <c r="B46" s="14" t="inlineStr">
        <is>
          <t>Technology / platform fees</t>
        </is>
      </c>
      <c r="C4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46" s="33" t="inlineStr">
        <is>
          <t>[ENTER]
Ex1 (A10): 6 months ; Ex2 (A9): 8 countries</t>
        </is>
      </c>
      <c r="E46"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46" s="14" t="inlineStr"/>
      <c r="G46" s="14" t="inlineStr"/>
    </row>
    <row r="47">
      <c r="A47" s="14" t="inlineStr"/>
      <c r="B47" s="14" t="inlineStr">
        <is>
          <t>Administrative overhead</t>
        </is>
      </c>
      <c r="C47"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D47" s="33" t="inlineStr">
        <is>
          <t>[ENTER]
Ex1 (A10): 6 months ; Ex2 (A9): 8 countries</t>
        </is>
      </c>
      <c r="E47" s="33" t="inlineStr">
        <is>
          <t>[ENTER]
Ex1 (A10): We retain the right to request receipts. All honoraria must be clearly stated. Itemize: (1) Project design/material design &amp; development, (2) Screener/questionnaire design, (3) Panel recruitment fees, ; Ex2 (A9): Please provide pricing broken out by country and phase. Phase 1 includes qualitative triads, Phase 2 includes quantitative segmentation and path-to-purchase, Phase 3 includes Round 2 validation and ty</t>
        </is>
      </c>
      <c r="F47" s="14" t="inlineStr"/>
      <c r="G47" s="14" t="inlineStr"/>
    </row>
    <row r="48">
      <c r="A48" s="14" t="inlineStr"/>
      <c r="B48" s="14" t="inlineStr"/>
      <c r="C48" s="14" t="inlineStr"/>
      <c r="D48" s="14" t="inlineStr"/>
      <c r="E48" s="14" t="inlineStr"/>
      <c r="F48" s="14" t="inlineStr"/>
      <c r="G48" s="14" t="inlineStr"/>
    </row>
    <row r="49">
      <c r="A49" s="20" t="inlineStr">
        <is>
          <t>TOTAL PROJECT COST</t>
        </is>
      </c>
      <c r="B49" s="20" t="inlineStr"/>
      <c r="C49" s="20" t="inlineStr"/>
      <c r="D49" s="20" t="inlineStr"/>
      <c r="E49" s="20">
        <f>SUM(E5:E44)</f>
        <v/>
      </c>
      <c r="F49" s="20" t="inlineStr"/>
      <c r="G49" s="20" t="inlineStr"/>
    </row>
    <row r="50"/>
    <row r="51">
      <c r="A51" s="17" t="inlineStr">
        <is>
          <t>EXAMPLE (from RFP-A4): Campaign Development project — UK/Germany/Spain, 12 IDIs per market: Project Initiation £14,000 | Fieldwork Prep £18,400 | Fieldwork £23,800 | Analytics £43,800 | Other £20,200</t>
        </is>
      </c>
      <c r="B51" s="26" t="n"/>
      <c r="C51" s="26" t="n"/>
      <c r="D51" s="26" t="n"/>
      <c r="E51" s="26" t="n"/>
      <c r="F51" s="26" t="n"/>
      <c r="G51" s="27" t="n"/>
    </row>
  </sheetData>
  <mergeCells count="3">
    <mergeCell ref="A2:G2"/>
    <mergeCell ref="A1:G1"/>
    <mergeCell ref="A51:G51"/>
  </mergeCell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I16"/>
  <sheetViews>
    <sheetView workbookViewId="0">
      <selection activeCell="A1" sqref="A1"/>
    </sheetView>
  </sheetViews>
  <sheetFormatPr baseColWidth="8" defaultRowHeight="15"/>
  <cols>
    <col width="20" customWidth="1" min="1" max="1"/>
    <col width="15" customWidth="1" min="2" max="2"/>
    <col width="20" customWidth="1" min="3" max="3"/>
    <col width="15" customWidth="1" min="4" max="4"/>
    <col width="25" customWidth="1" min="5" max="5"/>
    <col width="35" customWidth="1" min="6" max="6"/>
    <col width="20" customWidth="1" min="7" max="7"/>
    <col width="12" customWidth="1" min="8" max="8"/>
    <col width="35" customWidth="1" min="9" max="9"/>
  </cols>
  <sheetData>
    <row r="1">
      <c r="A1" s="2" t="inlineStr">
        <is>
          <t>MARKETS, SAMPLE DESIGN &amp; MODALITY SCOPE</t>
        </is>
      </c>
    </row>
    <row r="2">
      <c r="A2" s="19" t="inlineStr">
        <is>
          <t>Define per-country details: target audiences, sample sizes, modalities in scope. Based on structures from RFP-A1 (brand-audience-market matrix), RFP-A12 (multi-country modality scope), RFP-A13 (therapy area specifications).</t>
        </is>
      </c>
      <c r="B2" s="26" t="n"/>
      <c r="C2" s="26" t="n"/>
      <c r="D2" s="26" t="n"/>
      <c r="E2" s="26" t="n"/>
      <c r="F2" s="26" t="n"/>
      <c r="G2" s="26" t="n"/>
      <c r="H2" s="26" t="n"/>
      <c r="I2" s="27" t="n"/>
    </row>
    <row r="3"/>
    <row r="4">
      <c r="A4" s="9" t="inlineStr">
        <is>
          <t>Country / Region</t>
        </is>
      </c>
      <c r="B4" s="9" t="inlineStr">
        <is>
          <t>Priority Tier</t>
        </is>
      </c>
      <c r="C4" s="9" t="inlineStr">
        <is>
          <t>Audience Type</t>
        </is>
      </c>
      <c r="D4" s="9" t="inlineStr">
        <is>
          <t>N (Sample Size)</t>
        </is>
      </c>
      <c r="E4" s="9" t="inlineStr">
        <is>
          <t>Specialty / Profile</t>
        </is>
      </c>
      <c r="F4" s="9" t="inlineStr">
        <is>
          <t>Modalities / Products in Scope</t>
        </is>
      </c>
      <c r="G4" s="9" t="inlineStr">
        <is>
          <t>Recruitment Method</t>
        </is>
      </c>
      <c r="H4" s="9" t="inlineStr">
        <is>
          <t>LOI (min)</t>
        </is>
      </c>
      <c r="I4" s="9" t="inlineStr">
        <is>
          <t>Local Requirements / Notes</t>
        </is>
      </c>
    </row>
    <row r="5">
      <c r="A5" s="33"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5" s="33" t="inlineStr">
        <is>
          <t>[SELECT: Gold|Silver|Bronze|Core|Optional]
Ex: Core</t>
        </is>
      </c>
      <c r="C5" s="33"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5" s="33" t="inlineStr">
        <is>
          <t>[N=XXX]
Ex: N=1200 (seg) + N=300 (PtP)</t>
        </is>
      </c>
      <c r="E5" s="33" t="inlineStr">
        <is>
          <t>[ENTER]
Ex: OTC eye drop users 21+</t>
        </is>
      </c>
      <c r="F5" s="33" t="inlineStr">
        <is>
          <t>[ENTER]
Ex: Artificial tears, lubricants, redness</t>
        </is>
      </c>
      <c r="G5" s="33" t="inlineStr">
        <is>
          <t>[SELECT: Panel|Client List|Free-Find|Mixed]
Ex: Panel</t>
        </is>
      </c>
      <c r="H5" s="33" t="inlineStr">
        <is>
          <t>[XX min]
Ex: 40</t>
        </is>
      </c>
      <c r="I5" s="15" t="inlineStr">
        <is>
          <t>[ENTER]</t>
        </is>
      </c>
    </row>
    <row r="6">
      <c r="A6" s="33"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6" s="33" t="inlineStr">
        <is>
          <t>[SELECT: Gold|Silver|Bronze|Core|Optional]
Ex: Core</t>
        </is>
      </c>
      <c r="C6" s="33"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6" s="33" t="inlineStr">
        <is>
          <t>[N=XXX]
Ex: N=375 (seg) + N=125 (PtP)</t>
        </is>
      </c>
      <c r="E6" s="33" t="inlineStr">
        <is>
          <t>[ENTER]
Ex: OTC eye drop users 21+</t>
        </is>
      </c>
      <c r="F6" s="33" t="inlineStr">
        <is>
          <t>[ENTER]
Ex: Artificial tears, lubricants</t>
        </is>
      </c>
      <c r="G6" s="33" t="inlineStr">
        <is>
          <t>[SELECT: Panel|Client List|Free-Find|Mixed]
Ex: Panel</t>
        </is>
      </c>
      <c r="H6" s="33" t="inlineStr">
        <is>
          <t>[XX min]
Ex: 40</t>
        </is>
      </c>
      <c r="I6" s="15" t="inlineStr">
        <is>
          <t>[ENTER]</t>
        </is>
      </c>
    </row>
    <row r="7">
      <c r="A7" s="33"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7" s="33" t="inlineStr">
        <is>
          <t>[SELECT: Gold|Silver|Bronze|Core|Optional]
Ex: Core</t>
        </is>
      </c>
      <c r="C7" s="33"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7" s="33" t="inlineStr">
        <is>
          <t>[N=XXX]
Ex: N=375 (seg) + N=125 (PtP)</t>
        </is>
      </c>
      <c r="E7" s="33" t="inlineStr">
        <is>
          <t>[ENTER]
Ex: OTC eye drop users 21+</t>
        </is>
      </c>
      <c r="F7" s="33" t="inlineStr">
        <is>
          <t>[ENTER]
Ex: All OTC eye drops</t>
        </is>
      </c>
      <c r="G7" s="33" t="inlineStr">
        <is>
          <t>[SELECT: Panel|Client List|Free-Find|Mixed]
Ex: Panel</t>
        </is>
      </c>
      <c r="H7" s="33" t="inlineStr">
        <is>
          <t>[XX min]
Ex: 40</t>
        </is>
      </c>
      <c r="I7" s="15" t="inlineStr">
        <is>
          <t>[ENTER]</t>
        </is>
      </c>
    </row>
    <row r="8">
      <c r="A8" s="33"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8" s="33" t="inlineStr">
        <is>
          <t>[SELECT: Gold|Silver|Bronze|Core|Optional]
Ex: Core</t>
        </is>
      </c>
      <c r="C8" s="33"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8" s="33" t="inlineStr">
        <is>
          <t>[N=XXX]
Ex: N=300 (seg) + N=125 (PtP)</t>
        </is>
      </c>
      <c r="E8" s="33" t="inlineStr">
        <is>
          <t>[ENTER]
Ex: OTC eye drop users 21+</t>
        </is>
      </c>
      <c r="F8" s="33" t="inlineStr">
        <is>
          <t>[ENTER]
Ex: Artificial tears, lubricants</t>
        </is>
      </c>
      <c r="G8" s="33" t="inlineStr">
        <is>
          <t>[SELECT: Panel|Client List|Free-Find|Mixed]
Ex: Panel</t>
        </is>
      </c>
      <c r="H8" s="33" t="inlineStr">
        <is>
          <t>[XX min]
Ex: 40</t>
        </is>
      </c>
      <c r="I8" s="15" t="inlineStr">
        <is>
          <t>[ENTER]</t>
        </is>
      </c>
    </row>
    <row r="9">
      <c r="A9" s="33"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9" s="33" t="inlineStr">
        <is>
          <t>[SELECT: Gold|Silver|Bronze|Core|Optional]
Ex: Core</t>
        </is>
      </c>
      <c r="C9" s="33"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9" s="33" t="inlineStr">
        <is>
          <t>[N=XXX]
Ex: 30 clinics (~100-150 vets)</t>
        </is>
      </c>
      <c r="E9" s="33" t="inlineStr">
        <is>
          <t>[ENTER]
Ex: General Practice Vets</t>
        </is>
      </c>
      <c r="F9" s="33" t="inlineStr">
        <is>
          <t>[ENTER]
Ex: All dermatology Rx</t>
        </is>
      </c>
      <c r="G9" s="33" t="inlineStr">
        <is>
          <t>[SELECT: Panel|Client List|Free-Find|Mixed]
Ex: Client List</t>
        </is>
      </c>
      <c r="H9" s="33" t="inlineStr">
        <is>
          <t>[XX min]
Ex: Diary</t>
        </is>
      </c>
      <c r="I9" s="15" t="inlineStr">
        <is>
          <t>[ENTER]</t>
        </is>
      </c>
    </row>
    <row r="10">
      <c r="A10" s="33"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10" s="33" t="inlineStr">
        <is>
          <t>[SELECT: Gold|Silver|Bronze|Core|Optional]
Ex: Core</t>
        </is>
      </c>
      <c r="C10" s="33"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10" s="33" t="inlineStr">
        <is>
          <t>[N=XXX]
Ex: N=200-300 per market</t>
        </is>
      </c>
      <c r="E10" s="33" t="inlineStr">
        <is>
          <t>[ENTER]
Ex: Endocrinologists, Immunologists, ID specialists</t>
        </is>
      </c>
      <c r="F10" s="33" t="inlineStr">
        <is>
          <t>[ENTER]
Ex: Diabetes, Immunology, Vaccines</t>
        </is>
      </c>
      <c r="G10" s="33" t="inlineStr">
        <is>
          <t>[SELECT: Panel|Client List|Free-Find|Mixed]
Ex: Panel</t>
        </is>
      </c>
      <c r="H10" s="33" t="inlineStr">
        <is>
          <t>[XX min]
Ex: 25-30</t>
        </is>
      </c>
      <c r="I10" s="15" t="inlineStr">
        <is>
          <t>[ENTER]</t>
        </is>
      </c>
    </row>
    <row r="11">
      <c r="A11" s="15"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11" s="18" t="inlineStr">
        <is>
          <t>[SELECT: Gold|Silver|Bronze|Core|Optional]</t>
        </is>
      </c>
      <c r="C11" s="18"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11" s="15" t="inlineStr">
        <is>
          <t>[N=XXX]</t>
        </is>
      </c>
      <c r="E11" s="15" t="inlineStr">
        <is>
          <t>[ENTER]</t>
        </is>
      </c>
      <c r="F11" s="15" t="inlineStr">
        <is>
          <t>[ENTER]</t>
        </is>
      </c>
      <c r="G11" s="18" t="inlineStr">
        <is>
          <t>[SELECT: Panel|Client List|Free-Find|Mixed]</t>
        </is>
      </c>
      <c r="H11" s="15" t="inlineStr">
        <is>
          <t>[XX min]</t>
        </is>
      </c>
      <c r="I11" s="15" t="inlineStr">
        <is>
          <t>[ENTER]</t>
        </is>
      </c>
    </row>
    <row r="12">
      <c r="A12" s="15"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12" s="18" t="inlineStr">
        <is>
          <t>[SELECT: Gold|Silver|Bronze|Core|Optional]</t>
        </is>
      </c>
      <c r="C12" s="18"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12" s="15" t="inlineStr">
        <is>
          <t>[N=XXX]</t>
        </is>
      </c>
      <c r="E12" s="15" t="inlineStr">
        <is>
          <t>[ENTER]</t>
        </is>
      </c>
      <c r="F12" s="15" t="inlineStr">
        <is>
          <t>[ENTER]</t>
        </is>
      </c>
      <c r="G12" s="18" t="inlineStr">
        <is>
          <t>[SELECT: Panel|Client List|Free-Find|Mixed]</t>
        </is>
      </c>
      <c r="H12" s="15" t="inlineStr">
        <is>
          <t>[XX min]</t>
        </is>
      </c>
      <c r="I12" s="15" t="inlineStr">
        <is>
          <t>[ENTER]</t>
        </is>
      </c>
    </row>
    <row r="13">
      <c r="A13" s="15" t="inlineStr">
        <is>
          <t>[ENTER COUNTRY]
Ex1 (A9): Multi-Country (Global) — US, China, Japan, Germany, Italy, Brazil, Russia, UK (8 countries across 5 regions) ; Ex2 (A10): Single Country — United States (6,000 veterinary clinics nationally) ; Ex3 (A13): Multi-Country (Global) — US + EU5 + Japan + potentially China (7-8 markets per therapeutic area) ; Ex4 (A1): Multi-Country (Global) — 15+ markets across NA, EU, APAC, LATAM</t>
        </is>
      </c>
      <c r="B13" s="18" t="inlineStr">
        <is>
          <t>[SELECT: Gold|Silver|Bronze|Core|Optional]</t>
        </is>
      </c>
      <c r="C13" s="18" t="inlineStr">
        <is>
          <t>[SELECT: Physicians|Pharmacists|Payers|Patients|Consumers|KOLs|CxOs]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13" s="15" t="inlineStr">
        <is>
          <t>[N=XXX]</t>
        </is>
      </c>
      <c r="E13" s="15" t="inlineStr">
        <is>
          <t>[ENTER]</t>
        </is>
      </c>
      <c r="F13" s="15" t="inlineStr">
        <is>
          <t>[ENTER]</t>
        </is>
      </c>
      <c r="G13" s="18" t="inlineStr">
        <is>
          <t>[SELECT: Panel|Client List|Free-Find|Mixed]</t>
        </is>
      </c>
      <c r="H13" s="15" t="inlineStr">
        <is>
          <t>[XX min]</t>
        </is>
      </c>
      <c r="I13" s="15" t="inlineStr">
        <is>
          <t>[ENTER]</t>
        </is>
      </c>
    </row>
    <row r="14"/>
    <row r="15">
      <c r="A15" s="17" t="inlineStr">
        <is>
          <t>EXAMPLE (from RFP-A1): Gold tier: "Reco KPIs every quarter + annual trust + annual salesforce measurement" | Silver: "Reco KPIs annually + annual trust + annual salesforce" | Bronze: "Reco KPIs only, annually"</t>
        </is>
      </c>
      <c r="B15" s="26" t="n"/>
      <c r="C15" s="26" t="n"/>
      <c r="D15" s="26" t="n"/>
      <c r="E15" s="26" t="n"/>
      <c r="F15" s="26" t="n"/>
      <c r="G15" s="26" t="n"/>
      <c r="H15" s="26" t="n"/>
      <c r="I15" s="27" t="n"/>
    </row>
    <row r="16">
      <c r="A16" s="17" t="inlineStr">
        <is>
          <t>EXAMPLE (from RFP-A12): Japan — DPC Hospital, Non-DPC Hospital, Clinics | Modalities: CT, MR, SPECT/CT, PET/CT, Mammography, X-ray, Ultrasound, C-Arms. Korea — same modalities. EU — CT, MR, PET/CT, Mammography, X-ray, Ultrasound, Hybrid OR, Cath Lab.</t>
        </is>
      </c>
      <c r="B16" s="26" t="n"/>
      <c r="C16" s="26" t="n"/>
      <c r="D16" s="26" t="n"/>
      <c r="E16" s="26" t="n"/>
      <c r="F16" s="26" t="n"/>
      <c r="G16" s="26" t="n"/>
      <c r="H16" s="26" t="n"/>
      <c r="I16" s="27" t="n"/>
    </row>
  </sheetData>
  <mergeCells count="4">
    <mergeCell ref="A1:I1"/>
    <mergeCell ref="A2:I2"/>
    <mergeCell ref="A16:I16"/>
    <mergeCell ref="A15:I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E63"/>
  <sheetViews>
    <sheetView workbookViewId="0">
      <selection activeCell="A1" sqref="A1"/>
    </sheetView>
  </sheetViews>
  <sheetFormatPr baseColWidth="8" defaultRowHeight="15"/>
  <cols>
    <col width="8" customWidth="1" min="1" max="1"/>
    <col width="55" customWidth="1" min="2" max="2"/>
    <col width="50" customWidth="1" min="3" max="3"/>
    <col width="20" customWidth="1" min="4" max="4"/>
    <col width="25" customWidth="1" min="5" max="5"/>
  </cols>
  <sheetData>
    <row r="1">
      <c r="A1" s="2" t="inlineStr">
        <is>
          <t>VENDOR CAPABILITIES &amp; QUALIFICATIONS ASSESSMENT</t>
        </is>
      </c>
    </row>
    <row r="2">
      <c r="A2" s="19" t="inlineStr">
        <is>
          <t>Vendor self-assessment and qualification questions. Based on RFP-A3 (EU Supplier Q&amp;A format) and RFP-A4 (Global Qual Studies multi-section assessment). Complete all applicable sections.</t>
        </is>
      </c>
      <c r="B2" s="26" t="n"/>
      <c r="C2" s="26" t="n"/>
      <c r="D2" s="26" t="n"/>
      <c r="E2" s="27" t="n"/>
    </row>
    <row r="3"/>
    <row r="4">
      <c r="A4" s="11" t="inlineStr">
        <is>
          <t>A</t>
        </is>
      </c>
      <c r="B4" s="11" t="inlineStr">
        <is>
          <t>A. FIRM DETAILS</t>
        </is>
      </c>
      <c r="C4" s="11" t="inlineStr"/>
      <c r="D4" s="11" t="inlineStr"/>
      <c r="E4" s="11" t="inlineStr"/>
    </row>
    <row r="5">
      <c r="A5" s="14" t="inlineStr">
        <is>
          <t>A1</t>
        </is>
      </c>
      <c r="B5" s="14" t="inlineStr">
        <is>
          <t>Company name:</t>
        </is>
      </c>
      <c r="C5" s="33" t="inlineStr">
        <is>
          <t>[ENTER]
Ex1: Kantar Health ; Ex2: IQVIA ; Ex3: Ipsos Healthcare</t>
        </is>
      </c>
      <c r="D5" s="14" t="inlineStr"/>
      <c r="E5" s="14" t="inlineStr"/>
    </row>
    <row r="6">
      <c r="A6" s="14" t="inlineStr">
        <is>
          <t>A2</t>
        </is>
      </c>
      <c r="B6" s="14" t="inlineStr">
        <is>
          <t>Company address (street, city, state, zip):</t>
        </is>
      </c>
      <c r="C6" s="33" t="inlineStr">
        <is>
          <t>[ENTER]</t>
        </is>
      </c>
      <c r="D6" s="14" t="inlineStr"/>
      <c r="E6" s="14" t="inlineStr"/>
    </row>
    <row r="7">
      <c r="A7" s="14" t="inlineStr">
        <is>
          <t>A3</t>
        </is>
      </c>
      <c r="B7" s="14" t="inlineStr">
        <is>
          <t>Primary contact name:</t>
        </is>
      </c>
      <c r="C7" s="33" t="inlineStr">
        <is>
          <t>[ENTER]</t>
        </is>
      </c>
      <c r="D7" s="14" t="inlineStr"/>
      <c r="E7" s="14" t="inlineStr"/>
    </row>
    <row r="8">
      <c r="A8" s="14" t="inlineStr">
        <is>
          <t>A4</t>
        </is>
      </c>
      <c r="B8" s="14" t="inlineStr">
        <is>
          <t>Primary contact phone:</t>
        </is>
      </c>
      <c r="C8" s="33" t="inlineStr">
        <is>
          <t>[ENTER]</t>
        </is>
      </c>
      <c r="D8" s="14" t="inlineStr"/>
      <c r="E8" s="14" t="inlineStr"/>
    </row>
    <row r="9">
      <c r="A9" s="14" t="inlineStr">
        <is>
          <t>A5</t>
        </is>
      </c>
      <c r="B9" s="14" t="inlineStr">
        <is>
          <t>Primary contact email:</t>
        </is>
      </c>
      <c r="C9" s="33" t="inlineStr">
        <is>
          <t>[ENTER]</t>
        </is>
      </c>
      <c r="D9" s="14" t="inlineStr"/>
      <c r="E9" s="14" t="inlineStr"/>
    </row>
    <row r="10">
      <c r="A10" s="14" t="inlineStr">
        <is>
          <t>A6</t>
        </is>
      </c>
      <c r="B10" s="14" t="inlineStr">
        <is>
          <t>Years in service:</t>
        </is>
      </c>
      <c r="C10" s="33" t="inlineStr">
        <is>
          <t>[ENTER]
Ex1: 25+ years ; Ex2: 15 years in pharma MR</t>
        </is>
      </c>
      <c r="D10" s="14" t="inlineStr"/>
      <c r="E10" s="14" t="inlineStr"/>
    </row>
    <row r="11">
      <c r="A11" s="14" t="inlineStr">
        <is>
          <t>A7</t>
        </is>
      </c>
      <c r="B11" s="14" t="inlineStr">
        <is>
          <t>Top 3 clients in consumer healthcare / pharma:</t>
        </is>
      </c>
      <c r="C11" s="33" t="inlineStr">
        <is>
          <t>[ENTER]
Ex1: Pfizer, Novartis, Roche ; Ex2: Merck, GSK, AstraZeneca</t>
        </is>
      </c>
      <c r="D11" s="14" t="inlineStr"/>
      <c r="E11" s="14" t="inlineStr"/>
    </row>
    <row r="12">
      <c r="A12" s="14" t="inlineStr">
        <is>
          <t>A8</t>
        </is>
      </c>
      <c r="B12" s="14" t="inlineStr">
        <is>
          <t>Existing agreements with issuing organization?</t>
        </is>
      </c>
      <c r="C12" s="18" t="inlineStr">
        <is>
          <t>[SELECT: Yes | No]</t>
        </is>
      </c>
      <c r="D12" s="14" t="inlineStr">
        <is>
          <t>If Yes, describe:</t>
        </is>
      </c>
      <c r="E12" s="33" t="inlineStr">
        <is>
          <t>[ENTER]</t>
        </is>
      </c>
    </row>
    <row r="13">
      <c r="A13" s="14" t="inlineStr">
        <is>
          <t>A9</t>
        </is>
      </c>
      <c r="B13" s="14" t="inlineStr">
        <is>
          <t>Minority/Women/Veteran-Owned Business?</t>
        </is>
      </c>
      <c r="C13" s="18" t="inlineStr">
        <is>
          <t>[SELECT: Yes—MBE | Yes—WBE | Yes—VBE | No]</t>
        </is>
      </c>
      <c r="D13" s="14" t="inlineStr"/>
      <c r="E13" s="14" t="inlineStr"/>
    </row>
    <row r="14">
      <c r="A14" s="14" t="inlineStr">
        <is>
          <t>A10</t>
        </is>
      </c>
      <c r="B14" s="14" t="inlineStr">
        <is>
          <t>Adverse event reporting agreement?</t>
        </is>
      </c>
      <c r="C14" s="18" t="inlineStr">
        <is>
          <t>[SELECT: Yes | No]</t>
        </is>
      </c>
      <c r="D14" s="14" t="inlineStr"/>
      <c r="E14" s="14" t="inlineStr"/>
    </row>
    <row r="15">
      <c r="A15" s="14" t="inlineStr"/>
      <c r="B15" s="14" t="inlineStr"/>
      <c r="C15" s="14" t="inlineStr"/>
      <c r="D15" s="14" t="inlineStr"/>
      <c r="E15" s="14" t="inlineStr"/>
    </row>
    <row r="16">
      <c r="A16" s="11" t="inlineStr">
        <is>
          <t>B</t>
        </is>
      </c>
      <c r="B16" s="11" t="inlineStr">
        <is>
          <t>B. GENERAL CAPABILITIES</t>
        </is>
      </c>
      <c r="C16" s="11" t="inlineStr"/>
      <c r="D16" s="11" t="inlineStr"/>
      <c r="E16" s="11" t="inlineStr"/>
    </row>
    <row r="17">
      <c r="A17" s="21" t="inlineStr"/>
      <c r="B17" s="21" t="inlineStr">
        <is>
          <t>Research Type</t>
        </is>
      </c>
      <c r="C17" s="21" t="inlineStr">
        <is>
          <t>Off-the-shelf Systems/Tools</t>
        </is>
      </c>
      <c r="D17" s="21" t="inlineStr">
        <is>
          <t>Industry-Leading Techniques</t>
        </is>
      </c>
      <c r="E17" s="21" t="inlineStr">
        <is>
          <t>Emerging Innovations</t>
        </is>
      </c>
    </row>
    <row r="18">
      <c r="A18" s="14" t="inlineStr">
        <is>
          <t>B1</t>
        </is>
      </c>
      <c r="B18" s="14" t="inlineStr">
        <is>
          <t>Shopper Research</t>
        </is>
      </c>
      <c r="C18" s="33" t="inlineStr">
        <is>
          <t>[ENTER]</t>
        </is>
      </c>
      <c r="D18" s="33" t="inlineStr">
        <is>
          <t>[ENTER]</t>
        </is>
      </c>
      <c r="E18" s="33" t="inlineStr">
        <is>
          <t>[ENTER]</t>
        </is>
      </c>
    </row>
    <row r="19">
      <c r="A19" s="14" t="inlineStr">
        <is>
          <t>B2</t>
        </is>
      </c>
      <c r="B19" s="14" t="inlineStr">
        <is>
          <t>Segmentation</t>
        </is>
      </c>
      <c r="C19" s="33" t="inlineStr">
        <is>
          <t>[ENTER]
Ex (A9): Behavioral/attitudinal segmentation with typing tool; latent class analysis, cluster analysis</t>
        </is>
      </c>
      <c r="D19" s="33" t="inlineStr">
        <is>
          <t>[ENTER]
Ex (A9): Behavioral/attitudinal segmentation with typing tool; latent class analysis, cluster analysis</t>
        </is>
      </c>
      <c r="E19" s="33" t="inlineStr">
        <is>
          <t>[ENTER]
Ex (A9): Behavioral/attitudinal segmentation with typing tool; latent class analysis, cluster analysis</t>
        </is>
      </c>
    </row>
    <row r="20">
      <c r="A20" s="14" t="inlineStr">
        <is>
          <t>B3</t>
        </is>
      </c>
      <c r="B20" s="14" t="inlineStr">
        <is>
          <t>U&amp;A</t>
        </is>
      </c>
      <c r="C20" s="33" t="inlineStr">
        <is>
          <t>[ENTER]</t>
        </is>
      </c>
      <c r="D20" s="33" t="inlineStr">
        <is>
          <t>[ENTER]</t>
        </is>
      </c>
      <c r="E20" s="33" t="inlineStr">
        <is>
          <t>[ENTER]</t>
        </is>
      </c>
    </row>
    <row r="21">
      <c r="A21" s="14" t="inlineStr">
        <is>
          <t>B4</t>
        </is>
      </c>
      <c r="B21" s="14" t="inlineStr">
        <is>
          <t>Brand/Ad Tracking</t>
        </is>
      </c>
      <c r="C21" s="33" t="inlineStr">
        <is>
          <t>[ENTER]</t>
        </is>
      </c>
      <c r="D21" s="33" t="inlineStr">
        <is>
          <t>[ENTER]</t>
        </is>
      </c>
      <c r="E21" s="33" t="inlineStr">
        <is>
          <t>[ENTER]</t>
        </is>
      </c>
    </row>
    <row r="22">
      <c r="A22" s="14" t="inlineStr">
        <is>
          <t>B5</t>
        </is>
      </c>
      <c r="B22" s="14" t="inlineStr">
        <is>
          <t>Packaging</t>
        </is>
      </c>
      <c r="C22" s="33" t="inlineStr">
        <is>
          <t>[ENTER]</t>
        </is>
      </c>
      <c r="D22" s="33" t="inlineStr">
        <is>
          <t>[ENTER]</t>
        </is>
      </c>
      <c r="E22" s="33" t="inlineStr">
        <is>
          <t>[ENTER]</t>
        </is>
      </c>
    </row>
    <row r="23">
      <c r="A23" s="14" t="inlineStr">
        <is>
          <t>B6</t>
        </is>
      </c>
      <c r="B23" s="14" t="inlineStr">
        <is>
          <t>Qualitative</t>
        </is>
      </c>
      <c r="C23" s="33" t="inlineStr">
        <is>
          <t>[ENTER]</t>
        </is>
      </c>
      <c r="D23" s="33" t="inlineStr">
        <is>
          <t>[ENTER]</t>
        </is>
      </c>
      <c r="E23" s="33" t="inlineStr">
        <is>
          <t>[ENTER]</t>
        </is>
      </c>
    </row>
    <row r="24">
      <c r="A24" s="14" t="inlineStr">
        <is>
          <t>B7</t>
        </is>
      </c>
      <c r="B24" s="14" t="inlineStr">
        <is>
          <t>Volumetric</t>
        </is>
      </c>
      <c r="C24" s="33" t="inlineStr">
        <is>
          <t>[ENTER]</t>
        </is>
      </c>
      <c r="D24" s="33" t="inlineStr">
        <is>
          <t>[ENTER]</t>
        </is>
      </c>
      <c r="E24" s="33" t="inlineStr">
        <is>
          <t>[ENTER]</t>
        </is>
      </c>
    </row>
    <row r="25">
      <c r="A25" s="14" t="inlineStr">
        <is>
          <t>B8</t>
        </is>
      </c>
      <c r="B25" s="14" t="inlineStr">
        <is>
          <t>Claims Testing</t>
        </is>
      </c>
      <c r="C25" s="33" t="inlineStr">
        <is>
          <t>[ENTER]
Ex (A13): CBC conjoint, MaxDiff, preference share simulation with in-market validation</t>
        </is>
      </c>
      <c r="D25" s="33" t="inlineStr">
        <is>
          <t>[ENTER]
Ex (A13): CBC conjoint, MaxDiff, preference share simulation with in-market validation</t>
        </is>
      </c>
      <c r="E25" s="33" t="inlineStr">
        <is>
          <t>[ENTER]
Ex (A13): CBC conjoint, MaxDiff, preference share simulation with in-market validation</t>
        </is>
      </c>
    </row>
    <row r="26">
      <c r="A26" s="14" t="inlineStr">
        <is>
          <t>B9</t>
        </is>
      </c>
      <c r="B26" s="14" t="inlineStr">
        <is>
          <t>Expert Research</t>
        </is>
      </c>
      <c r="C26" s="33" t="inlineStr">
        <is>
          <t>[ENTER]</t>
        </is>
      </c>
      <c r="D26" s="33" t="inlineStr">
        <is>
          <t>[ENTER]</t>
        </is>
      </c>
      <c r="E26" s="33" t="inlineStr">
        <is>
          <t>[ENTER]</t>
        </is>
      </c>
    </row>
    <row r="27">
      <c r="A27" s="14" t="inlineStr">
        <is>
          <t>B10</t>
        </is>
      </c>
      <c r="B27" s="14" t="inlineStr">
        <is>
          <t>Concept Testing</t>
        </is>
      </c>
      <c r="C27" s="33" t="inlineStr">
        <is>
          <t>[ENTER]
Ex (A13): Quant concept testing with normative benchmarks predictive of in-market performance</t>
        </is>
      </c>
      <c r="D27" s="33" t="inlineStr">
        <is>
          <t>[ENTER]
Ex (A13): Quant concept testing with normative benchmarks predictive of in-market performance</t>
        </is>
      </c>
      <c r="E27" s="33" t="inlineStr">
        <is>
          <t>[ENTER]
Ex (A13): Quant concept testing with normative benchmarks predictive of in-market performance</t>
        </is>
      </c>
    </row>
    <row r="28">
      <c r="A28" s="14" t="inlineStr">
        <is>
          <t>B11</t>
        </is>
      </c>
      <c r="B28" s="14" t="inlineStr">
        <is>
          <t>Ad Testing</t>
        </is>
      </c>
      <c r="C28" s="33" t="inlineStr">
        <is>
          <t>[ENTER]</t>
        </is>
      </c>
      <c r="D28" s="33" t="inlineStr">
        <is>
          <t>[ENTER]</t>
        </is>
      </c>
      <c r="E28" s="33" t="inlineStr">
        <is>
          <t>[ENTER]</t>
        </is>
      </c>
    </row>
    <row r="29">
      <c r="A29" s="14" t="inlineStr">
        <is>
          <t>B12</t>
        </is>
      </c>
      <c r="B29" s="14" t="inlineStr">
        <is>
          <t>Campaign Development (Pharma)</t>
        </is>
      </c>
      <c r="C29" s="33" t="inlineStr">
        <is>
          <t>[ENTER]</t>
        </is>
      </c>
      <c r="D29" s="33" t="inlineStr">
        <is>
          <t>[ENTER]</t>
        </is>
      </c>
      <c r="E29" s="33" t="inlineStr">
        <is>
          <t>[ENTER]</t>
        </is>
      </c>
    </row>
    <row r="30">
      <c r="A30" s="14" t="inlineStr">
        <is>
          <t>B13</t>
        </is>
      </c>
      <c r="B30" s="14" t="inlineStr">
        <is>
          <t>Exploratory Research (Pharma)</t>
        </is>
      </c>
      <c r="C30" s="33" t="inlineStr">
        <is>
          <t>[ENTER]</t>
        </is>
      </c>
      <c r="D30" s="33" t="inlineStr">
        <is>
          <t>[ENTER]</t>
        </is>
      </c>
      <c r="E30" s="33" t="inlineStr">
        <is>
          <t>[ENTER]</t>
        </is>
      </c>
    </row>
    <row r="31">
      <c r="A31" s="14" t="inlineStr">
        <is>
          <t>B14</t>
        </is>
      </c>
      <c r="B31" s="14" t="inlineStr">
        <is>
          <t>Market Sizing (Pharma)</t>
        </is>
      </c>
      <c r="C31" s="33" t="inlineStr">
        <is>
          <t>[ENTER]</t>
        </is>
      </c>
      <c r="D31" s="33" t="inlineStr">
        <is>
          <t>[ENTER]</t>
        </is>
      </c>
      <c r="E31" s="33" t="inlineStr">
        <is>
          <t>[ENTER]</t>
        </is>
      </c>
    </row>
    <row r="32">
      <c r="A32" s="14" t="inlineStr">
        <is>
          <t>B15</t>
        </is>
      </c>
      <c r="B32" s="14" t="inlineStr">
        <is>
          <t>Message Recall / Call Quality (Pharma)</t>
        </is>
      </c>
      <c r="C32" s="33" t="inlineStr">
        <is>
          <t>[ENTER]</t>
        </is>
      </c>
      <c r="D32" s="33" t="inlineStr">
        <is>
          <t>[ENTER]</t>
        </is>
      </c>
      <c r="E32" s="33" t="inlineStr">
        <is>
          <t>[ENTER]</t>
        </is>
      </c>
    </row>
    <row r="33">
      <c r="A33" s="14" t="inlineStr">
        <is>
          <t>B16</t>
        </is>
      </c>
      <c r="B33" s="14" t="inlineStr">
        <is>
          <t>Tracking (Pharma)</t>
        </is>
      </c>
      <c r="C33" s="33" t="inlineStr">
        <is>
          <t>[ENTER]</t>
        </is>
      </c>
      <c r="D33" s="33" t="inlineStr">
        <is>
          <t>[ENTER]</t>
        </is>
      </c>
      <c r="E33" s="33" t="inlineStr">
        <is>
          <t>[ENTER]</t>
        </is>
      </c>
    </row>
    <row r="34">
      <c r="A34" s="14" t="inlineStr"/>
      <c r="B34" s="14" t="inlineStr"/>
      <c r="C34" s="14" t="inlineStr"/>
      <c r="D34" s="14" t="inlineStr"/>
      <c r="E34" s="14" t="inlineStr"/>
    </row>
    <row r="35">
      <c r="A35" s="11" t="inlineStr">
        <is>
          <t>C</t>
        </is>
      </c>
      <c r="B35" s="11" t="inlineStr">
        <is>
          <t>C. STAFF CAPABILITIES</t>
        </is>
      </c>
      <c r="C35" s="11" t="inlineStr"/>
      <c r="D35" s="11" t="inlineStr"/>
      <c r="E35" s="11" t="inlineStr"/>
    </row>
    <row r="36">
      <c r="A36" s="21" t="inlineStr"/>
      <c r="B36" s="21" t="inlineStr">
        <is>
          <t>Role</t>
        </is>
      </c>
      <c r="C36" s="21" t="inlineStr">
        <is>
          <t>Avg Years Experience (Consumer HC)</t>
        </is>
      </c>
      <c r="D36" s="21" t="inlineStr">
        <is>
          <t>Avg Years Experience (Pharma)</t>
        </is>
      </c>
      <c r="E36" s="21" t="inlineStr">
        <is>
          <t># FTEs</t>
        </is>
      </c>
    </row>
    <row r="37">
      <c r="A37" s="14" t="inlineStr">
        <is>
          <t>C1</t>
        </is>
      </c>
      <c r="B37" s="14" t="inlineStr">
        <is>
          <t>Account Executive</t>
        </is>
      </c>
      <c r="C37" s="33" t="inlineStr">
        <is>
          <t>[ENTER]</t>
        </is>
      </c>
      <c r="D37" s="33" t="inlineStr">
        <is>
          <t>[ENTER]</t>
        </is>
      </c>
      <c r="E37" s="33" t="inlineStr">
        <is>
          <t>[ENTER]</t>
        </is>
      </c>
    </row>
    <row r="38">
      <c r="A38" s="14" t="inlineStr">
        <is>
          <t>C2</t>
        </is>
      </c>
      <c r="B38" s="14" t="inlineStr">
        <is>
          <t>Account Representative</t>
        </is>
      </c>
      <c r="C38" s="33" t="inlineStr">
        <is>
          <t>[ENTER]</t>
        </is>
      </c>
      <c r="D38" s="33" t="inlineStr">
        <is>
          <t>[ENTER]</t>
        </is>
      </c>
      <c r="E38" s="33" t="inlineStr">
        <is>
          <t>[ENTER]</t>
        </is>
      </c>
    </row>
    <row r="39">
      <c r="A39" s="14" t="inlineStr">
        <is>
          <t>C3</t>
        </is>
      </c>
      <c r="B39" s="14" t="inlineStr">
        <is>
          <t>Project Manager</t>
        </is>
      </c>
      <c r="C39" s="33" t="inlineStr">
        <is>
          <t>[ENTER]</t>
        </is>
      </c>
      <c r="D39" s="33" t="inlineStr">
        <is>
          <t>[ENTER]</t>
        </is>
      </c>
      <c r="E39" s="33" t="inlineStr">
        <is>
          <t>[ENTER]</t>
        </is>
      </c>
    </row>
    <row r="40">
      <c r="A40" s="14" t="inlineStr">
        <is>
          <t>C4</t>
        </is>
      </c>
      <c r="B40" s="14" t="inlineStr">
        <is>
          <t>Field Team Director</t>
        </is>
      </c>
      <c r="C40" s="33" t="inlineStr">
        <is>
          <t>[ENTER]</t>
        </is>
      </c>
      <c r="D40" s="33" t="inlineStr">
        <is>
          <t>[ENTER]</t>
        </is>
      </c>
      <c r="E40" s="33" t="inlineStr">
        <is>
          <t>[ENTER]</t>
        </is>
      </c>
    </row>
    <row r="41">
      <c r="A41" s="14" t="inlineStr">
        <is>
          <t>C5</t>
        </is>
      </c>
      <c r="B41" s="14" t="inlineStr">
        <is>
          <t>Field Team Member</t>
        </is>
      </c>
      <c r="C41" s="33" t="inlineStr">
        <is>
          <t>[ENTER]</t>
        </is>
      </c>
      <c r="D41" s="33" t="inlineStr">
        <is>
          <t>[ENTER]</t>
        </is>
      </c>
      <c r="E41" s="33" t="inlineStr">
        <is>
          <t>[ENTER]</t>
        </is>
      </c>
    </row>
    <row r="42">
      <c r="A42" s="14" t="inlineStr">
        <is>
          <t>C6</t>
        </is>
      </c>
      <c r="B42" s="14" t="inlineStr">
        <is>
          <t>Research Director</t>
        </is>
      </c>
      <c r="C42" s="33" t="inlineStr">
        <is>
          <t>[ENTER]</t>
        </is>
      </c>
      <c r="D42" s="33" t="inlineStr">
        <is>
          <t>[ENTER]</t>
        </is>
      </c>
      <c r="E42" s="33" t="inlineStr">
        <is>
          <t>[ENTER]</t>
        </is>
      </c>
    </row>
    <row r="43">
      <c r="A43" s="14" t="inlineStr">
        <is>
          <t>C7</t>
        </is>
      </c>
      <c r="B43" s="14" t="inlineStr">
        <is>
          <t>Research Analyst</t>
        </is>
      </c>
      <c r="C43" s="33" t="inlineStr">
        <is>
          <t>[ENTER]</t>
        </is>
      </c>
      <c r="D43" s="33" t="inlineStr">
        <is>
          <t>[ENTER]</t>
        </is>
      </c>
      <c r="E43" s="33" t="inlineStr">
        <is>
          <t>[ENTER]</t>
        </is>
      </c>
    </row>
    <row r="44">
      <c r="A44" s="14" t="inlineStr"/>
      <c r="B44" s="14" t="inlineStr"/>
      <c r="C44" s="14" t="inlineStr"/>
      <c r="D44" s="14" t="inlineStr"/>
      <c r="E44" s="14" t="inlineStr"/>
    </row>
    <row r="45">
      <c r="A45" s="11" t="inlineStr">
        <is>
          <t>D</t>
        </is>
      </c>
      <c r="B45" s="11" t="inlineStr">
        <is>
          <t>D. LOCATION CAPABILITIES</t>
        </is>
      </c>
      <c r="C45" s="11" t="inlineStr"/>
      <c r="D45" s="11" t="inlineStr"/>
      <c r="E45" s="11" t="inlineStr"/>
    </row>
    <row r="46">
      <c r="A46" s="21" t="inlineStr"/>
      <c r="B46" s="21" t="inlineStr">
        <is>
          <t>Office Location (City, Country)</t>
        </is>
      </c>
      <c r="C46" s="21" t="inlineStr">
        <is>
          <t>Business Supported</t>
        </is>
      </c>
      <c r="D46" s="21" t="inlineStr">
        <is>
          <t># FTEs</t>
        </is>
      </c>
      <c r="E46" s="21" t="inlineStr">
        <is>
          <t>Countries Supported</t>
        </is>
      </c>
    </row>
    <row r="47">
      <c r="A47" s="14" t="inlineStr">
        <is>
          <t>D1</t>
        </is>
      </c>
      <c r="B47" s="15" t="inlineStr">
        <is>
          <t>[ENTER]</t>
        </is>
      </c>
      <c r="C47" s="18" t="inlineStr">
        <is>
          <t>[SELECT: Consumer HC | Pharma | Both]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47" s="33" t="inlineStr">
        <is>
          <t>[ENTER]</t>
        </is>
      </c>
      <c r="E47" s="33" t="inlineStr">
        <is>
          <t>[ENTER]</t>
        </is>
      </c>
    </row>
    <row r="48">
      <c r="A48" s="14" t="inlineStr">
        <is>
          <t>D2</t>
        </is>
      </c>
      <c r="B48" s="15" t="inlineStr">
        <is>
          <t>[ENTER]</t>
        </is>
      </c>
      <c r="C48" s="18" t="inlineStr">
        <is>
          <t>[SELECT: Consumer HC | Pharma | Both]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48" s="33" t="inlineStr">
        <is>
          <t>[ENTER]</t>
        </is>
      </c>
      <c r="E48" s="33" t="inlineStr">
        <is>
          <t>[ENTER]</t>
        </is>
      </c>
    </row>
    <row r="49">
      <c r="A49" s="14" t="inlineStr">
        <is>
          <t>D3</t>
        </is>
      </c>
      <c r="B49" s="15" t="inlineStr">
        <is>
          <t>[ENTER]</t>
        </is>
      </c>
      <c r="C49" s="18" t="inlineStr">
        <is>
          <t>[SELECT: Consumer HC | Pharma | Both]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49" s="33" t="inlineStr">
        <is>
          <t>[ENTER]</t>
        </is>
      </c>
      <c r="E49" s="33" t="inlineStr">
        <is>
          <t>[ENTER]</t>
        </is>
      </c>
    </row>
    <row r="50">
      <c r="A50" s="14" t="inlineStr">
        <is>
          <t>D4</t>
        </is>
      </c>
      <c r="B50" s="15" t="inlineStr">
        <is>
          <t>[ENTER]</t>
        </is>
      </c>
      <c r="C50" s="18" t="inlineStr">
        <is>
          <t>[SELECT: Consumer HC | Pharma | Both]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50" s="33" t="inlineStr">
        <is>
          <t>[ENTER]</t>
        </is>
      </c>
      <c r="E50" s="33" t="inlineStr">
        <is>
          <t>[ENTER]</t>
        </is>
      </c>
    </row>
    <row r="51">
      <c r="A51" s="14" t="inlineStr">
        <is>
          <t>D5</t>
        </is>
      </c>
      <c r="B51" s="15" t="inlineStr">
        <is>
          <t>[ENTER]</t>
        </is>
      </c>
      <c r="C51" s="18" t="inlineStr">
        <is>
          <t>[SELECT: Consumer HC | Pharma | Both]
Ex1 (A9): Consumers (Non-Rx) — OTC eye drop purchasers aged 18+ who bought eye drops in past 6 months ; Ex2 (A10): Veterinarians — general practice veterinarians at clinics prescribing dermatology products ; Ex3 (A13): Physicians (Specialists) — endocrinologists, neurologists, dermatologists depending on therapeutic area ; Ex4 (A7): Physicians (Specialists) — oncologists treating breast cancer, identified via medical chart review ; Ex5 (A1): Physicians (GPs/PCPs) + Pharmacists — HCPs recommending consumer healthcare products (oral care, pain, allergy)</t>
        </is>
      </c>
      <c r="D51" s="33" t="inlineStr">
        <is>
          <t>[ENTER]</t>
        </is>
      </c>
      <c r="E51" s="33" t="inlineStr">
        <is>
          <t>[ENTER]</t>
        </is>
      </c>
    </row>
    <row r="52">
      <c r="A52" s="14" t="inlineStr"/>
      <c r="B52" s="14" t="inlineStr"/>
      <c r="C52" s="14" t="inlineStr"/>
      <c r="D52" s="14" t="inlineStr"/>
      <c r="E52" s="14" t="inlineStr"/>
    </row>
    <row r="53">
      <c r="A53" s="11" t="inlineStr">
        <is>
          <t>E</t>
        </is>
      </c>
      <c r="B53" s="11" t="inlineStr">
        <is>
          <t>E. SUBCONTRACTING</t>
        </is>
      </c>
      <c r="C53" s="11" t="inlineStr"/>
      <c r="D53" s="11" t="inlineStr"/>
      <c r="E53" s="11" t="inlineStr"/>
    </row>
    <row r="54">
      <c r="A54" s="21" t="inlineStr"/>
      <c r="B54" s="21" t="inlineStr">
        <is>
          <t>Activity</t>
        </is>
      </c>
      <c r="C54" s="21" t="inlineStr">
        <is>
          <t>Subcontracted?</t>
        </is>
      </c>
      <c r="D54" s="21" t="inlineStr">
        <is>
          <t>% Subcontracted</t>
        </is>
      </c>
      <c r="E54" s="21" t="inlineStr">
        <is>
          <t>% Markup on Pass-through</t>
        </is>
      </c>
    </row>
    <row r="55">
      <c r="A55" s="14" t="inlineStr">
        <is>
          <t>E1</t>
        </is>
      </c>
      <c r="B55" s="14" t="inlineStr">
        <is>
          <t>Project Design</t>
        </is>
      </c>
      <c r="C55" s="18" t="inlineStr">
        <is>
          <t>[SELECT: Yes | No]</t>
        </is>
      </c>
      <c r="D55" s="15" t="inlineStr">
        <is>
          <t>[ENTER %]</t>
        </is>
      </c>
      <c r="E55" s="15" t="inlineStr">
        <is>
          <t>[ENTER %]</t>
        </is>
      </c>
    </row>
    <row r="56">
      <c r="A56" s="14" t="inlineStr">
        <is>
          <t>E2</t>
        </is>
      </c>
      <c r="B56" s="14" t="inlineStr">
        <is>
          <t>Questionnaire Development</t>
        </is>
      </c>
      <c r="C56" s="18" t="inlineStr">
        <is>
          <t>[SELECT: Yes | No]</t>
        </is>
      </c>
      <c r="D56" s="15" t="inlineStr">
        <is>
          <t>[ENTER %]</t>
        </is>
      </c>
      <c r="E56" s="15" t="inlineStr">
        <is>
          <t>[ENTER %]</t>
        </is>
      </c>
    </row>
    <row r="57">
      <c r="A57" s="14" t="inlineStr">
        <is>
          <t>E3</t>
        </is>
      </c>
      <c r="B57" s="14" t="inlineStr">
        <is>
          <t>Questionnaire Programming</t>
        </is>
      </c>
      <c r="C57" s="18" t="inlineStr">
        <is>
          <t>[SELECT: Yes | No]</t>
        </is>
      </c>
      <c r="D57" s="15" t="inlineStr">
        <is>
          <t>[ENTER %]</t>
        </is>
      </c>
      <c r="E57" s="15" t="inlineStr">
        <is>
          <t>[ENTER %]</t>
        </is>
      </c>
    </row>
    <row r="58">
      <c r="A58" s="14" t="inlineStr">
        <is>
          <t>E4</t>
        </is>
      </c>
      <c r="B58" s="14" t="inlineStr">
        <is>
          <t>Scheduling / Logistics</t>
        </is>
      </c>
      <c r="C58" s="18" t="inlineStr">
        <is>
          <t>[SELECT: Yes | No]</t>
        </is>
      </c>
      <c r="D58" s="15" t="inlineStr">
        <is>
          <t>[ENTER %]</t>
        </is>
      </c>
      <c r="E58" s="15" t="inlineStr">
        <is>
          <t>[ENTER %]</t>
        </is>
      </c>
    </row>
    <row r="59">
      <c r="A59" s="14" t="inlineStr">
        <is>
          <t>E5</t>
        </is>
      </c>
      <c r="B59" s="14" t="inlineStr">
        <is>
          <t>Fieldwork / Interviewing</t>
        </is>
      </c>
      <c r="C59" s="18" t="inlineStr">
        <is>
          <t>[SELECT: Yes | No]</t>
        </is>
      </c>
      <c r="D59" s="15" t="inlineStr">
        <is>
          <t>[ENTER %]</t>
        </is>
      </c>
      <c r="E59" s="15" t="inlineStr">
        <is>
          <t>[ENTER %]</t>
        </is>
      </c>
    </row>
    <row r="60">
      <c r="A60" s="14" t="inlineStr">
        <is>
          <t>E6</t>
        </is>
      </c>
      <c r="B60" s="14" t="inlineStr">
        <is>
          <t>Data Processing</t>
        </is>
      </c>
      <c r="C60" s="18" t="inlineStr">
        <is>
          <t>[SELECT: Yes | No]</t>
        </is>
      </c>
      <c r="D60" s="15" t="inlineStr">
        <is>
          <t>[ENTER %]</t>
        </is>
      </c>
      <c r="E60" s="15" t="inlineStr">
        <is>
          <t>[ENTER %]</t>
        </is>
      </c>
    </row>
    <row r="61">
      <c r="A61" s="14" t="inlineStr">
        <is>
          <t>E7</t>
        </is>
      </c>
      <c r="B61" s="14" t="inlineStr">
        <is>
          <t>Coding</t>
        </is>
      </c>
      <c r="C61" s="18" t="inlineStr">
        <is>
          <t>[SELECT: Yes | No]</t>
        </is>
      </c>
      <c r="D61" s="15" t="inlineStr">
        <is>
          <t>[ENTER %]</t>
        </is>
      </c>
      <c r="E61" s="15" t="inlineStr">
        <is>
          <t>[ENTER %]</t>
        </is>
      </c>
    </row>
    <row r="62">
      <c r="A62" s="14" t="inlineStr">
        <is>
          <t>E8</t>
        </is>
      </c>
      <c r="B62" s="14" t="inlineStr">
        <is>
          <t>Tabulation</t>
        </is>
      </c>
      <c r="C62" s="18" t="inlineStr">
        <is>
          <t>[SELECT: Yes | No]</t>
        </is>
      </c>
      <c r="D62" s="15" t="inlineStr">
        <is>
          <t>[ENTER %]</t>
        </is>
      </c>
      <c r="E62" s="15" t="inlineStr">
        <is>
          <t>[ENTER %]</t>
        </is>
      </c>
    </row>
    <row r="63">
      <c r="A63" s="14" t="inlineStr">
        <is>
          <t>E9</t>
        </is>
      </c>
      <c r="B63" s="14" t="inlineStr">
        <is>
          <t>Analysis &amp; Reporting</t>
        </is>
      </c>
      <c r="C63" s="18" t="inlineStr">
        <is>
          <t>[SELECT: Yes | No]</t>
        </is>
      </c>
      <c r="D63" s="15" t="inlineStr">
        <is>
          <t>[ENTER %]</t>
        </is>
      </c>
      <c r="E63" s="15" t="inlineStr">
        <is>
          <t>[ENTER %]</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0284C7"/>
    <outlinePr summaryBelow="1" summaryRight="1"/>
    <pageSetUpPr/>
  </sheetPr>
  <dimension ref="A1:G64"/>
  <sheetViews>
    <sheetView workbookViewId="0">
      <selection activeCell="A1" sqref="A1"/>
    </sheetView>
  </sheetViews>
  <sheetFormatPr baseColWidth="8" defaultRowHeight="15"/>
  <cols>
    <col width="30" customWidth="1" min="1" max="1"/>
    <col width="18" customWidth="1" min="2" max="2"/>
    <col width="18" customWidth="1" min="3" max="3"/>
    <col width="50" customWidth="1" min="4" max="4"/>
    <col width="18" customWidth="1" min="5" max="5"/>
    <col width="18" customWidth="1" min="6" max="6"/>
    <col width="35" customWidth="1" min="7" max="7"/>
  </cols>
  <sheetData>
    <row r="1">
      <c r="A1" s="2" t="inlineStr">
        <is>
          <t>SAMPLE PROJECT PRICING SCENARIOS</t>
        </is>
      </c>
    </row>
    <row r="2">
      <c r="A2" s="19" t="inlineStr">
        <is>
          <t>Provide pricing for representative project scenarios. Each scenario tests vendor capability and cost competitiveness for a specific research type. Based on RFP-A4 sample project format.</t>
        </is>
      </c>
      <c r="B2" s="26" t="n"/>
      <c r="C2" s="26" t="n"/>
      <c r="D2" s="26" t="n"/>
      <c r="E2" s="26" t="n"/>
      <c r="F2" s="26" t="n"/>
      <c r="G2" s="27" t="n"/>
    </row>
    <row r="3"/>
    <row r="4">
      <c r="A4" s="22" t="inlineStr">
        <is>
          <t>SCENARIO 1</t>
        </is>
      </c>
    </row>
    <row r="5">
      <c r="A5" s="3" t="inlineStr">
        <is>
          <t>Research Type:</t>
        </is>
      </c>
      <c r="B5" s="33" t="inlineStr">
        <is>
          <t>[SELECT: Shopper | Segmentation | U&amp;A | Tracking | Packaging | Qual | Claims | Expert | Concept | Campaign Dev | Exploratory | Market Sizing]
Ex1 (A9): Segmentation ; Ex2 (A13): Concept Testing + Conjoint</t>
        </is>
      </c>
      <c r="C5" s="26" t="n"/>
      <c r="D5" s="26" t="n"/>
      <c r="E5" s="26" t="n"/>
      <c r="F5" s="26" t="n"/>
      <c r="G5" s="27" t="n"/>
    </row>
    <row r="6">
      <c r="A6" s="3" t="inlineStr">
        <is>
          <t>Objectives:</t>
        </is>
      </c>
      <c r="B6" s="33" t="inlineStr">
        <is>
          <t>[ENTER: Brief description of scenario objectives]
Ex1 (A13): [CLIENT_ORG] is a global healthcare company focused on patient needs. Our business includes a diversified offering of branded and generic prescription medicines, consumer healthcare products, human va ; Ex2 (A9): Arden Laboratories, Inc. is a global leader in eye care and vision science. The company develops, manufactures and markets a broad range of eye care products including contact lenses, lens care soluti ; Ex3 (A10): Zephora is a global animal health company committed to enhancing the health of animals. In [DATE], Zephora launched [BRAND_A], a novel drug indicated for the control of pruritus associated with allerg</t>
        </is>
      </c>
      <c r="C6" s="26" t="n"/>
      <c r="D6" s="26" t="n"/>
      <c r="E6" s="26" t="n"/>
      <c r="F6" s="26" t="n"/>
      <c r="G6" s="27" t="n"/>
    </row>
    <row r="7">
      <c r="A7" s="3" t="inlineStr">
        <is>
          <t>Timeline:</t>
        </is>
      </c>
      <c r="B7" s="33" t="inlineStr">
        <is>
          <t>[ENTER: e.g., '26 weeks from kickoff to final presentation']
Ex1 (A9): Phase 2-3 approx 13 weeks from launch to final deliverables ; Ex2 (A10): 6+ months monthly reporting</t>
        </is>
      </c>
      <c r="C7" s="26" t="n"/>
      <c r="D7" s="26" t="n"/>
      <c r="E7" s="26" t="n"/>
      <c r="F7" s="26" t="n"/>
      <c r="G7" s="27" t="n"/>
    </row>
    <row r="8">
      <c r="A8" s="3" t="inlineStr">
        <is>
          <t>Markets:</t>
        </is>
      </c>
      <c r="B8" s="33" t="inlineStr">
        <is>
          <t>[ENTER: e.g., 'UK' or 'US, Canada, Mexico']
Ex1 (A9): USD — all costs to be quoted in US dollars ; Ex2 (A3): EUR — all supplier quotations must be submitted in EURO ; Ex3 (A4): GBP — sample project pricing in British pounds ; Ex4 (A13): USD — with note that local market costs may be converted at proposal-date exchange rates</t>
        </is>
      </c>
      <c r="C8" s="26" t="n"/>
      <c r="D8" s="26" t="n"/>
      <c r="E8" s="26" t="n"/>
      <c r="F8" s="26" t="n"/>
      <c r="G8" s="27" t="n"/>
    </row>
    <row r="9">
      <c r="A9" s="3" t="inlineStr">
        <is>
          <t>Methodology:</t>
        </is>
      </c>
      <c r="B9" s="33" t="inlineStr">
        <is>
          <t>[ENTER: e.g., '12 IDIs per market, 60 min each, with T2 neurologists']
Ex1 (A9): USD — all costs to be quoted in US dollars ; Ex2 (A3): EUR — all supplier quotations must be submitted in EURO ; Ex3 (A4): GBP — sample project pricing in British pounds ; Ex4 (A13): USD — with note that local market costs may be converted at proposal-date exchange rates</t>
        </is>
      </c>
      <c r="C9" s="26" t="n"/>
      <c r="D9" s="26" t="n"/>
      <c r="E9" s="26" t="n"/>
      <c r="F9" s="26" t="n"/>
      <c r="G9" s="27" t="n"/>
    </row>
    <row r="10">
      <c r="A10" s="3" t="inlineStr">
        <is>
          <t>Sample Size:</t>
        </is>
      </c>
      <c r="B10" s="33" t="inlineStr">
        <is>
          <t>[ENTER: e.g., 'N=1800 distributed equally across 3 markets']
Ex1 (A9): N=2250 seg + N=1275 seg + N=925 PtP ; Ex2 (A10): 30 clinics (~100-150 vets) ; Ex3 (A13): N=200-300 HCPs per market per TA</t>
        </is>
      </c>
      <c r="C10" s="26" t="n"/>
      <c r="D10" s="26" t="n"/>
      <c r="E10" s="26" t="n"/>
      <c r="F10" s="26" t="n"/>
      <c r="G10" s="27" t="n"/>
    </row>
    <row r="11">
      <c r="A11" s="3" t="inlineStr">
        <is>
          <t>Deliverables:</t>
        </is>
      </c>
      <c r="B11" s="33" t="inlineStr">
        <is>
          <t>[ENTER: e.g., 'Comprehensive report and PowerPoint presentation']
Ex1 (A9): Storyline PPT with appendix + typing tool + training deck ; Ex2 (A10): Monthly PPT + final PPT + in-person presentation + ongoing consulting</t>
        </is>
      </c>
      <c r="C11" s="26" t="n"/>
      <c r="D11" s="26" t="n"/>
      <c r="E11" s="26" t="n"/>
      <c r="F11" s="26" t="n"/>
      <c r="G11" s="27" t="n"/>
    </row>
    <row r="12"/>
    <row r="13">
      <c r="A13" s="9" t="inlineStr">
        <is>
          <t>Cost Driver</t>
        </is>
      </c>
      <c r="B13" s="9" t="inlineStr">
        <is>
          <t>Total Cost</t>
        </is>
      </c>
      <c r="C13" s="9" t="inlineStr">
        <is>
          <t>Currency</t>
        </is>
      </c>
    </row>
    <row r="14">
      <c r="A14" s="23" t="inlineStr">
        <is>
          <t>Project Initiation</t>
        </is>
      </c>
      <c r="B14" s="15" t="inlineStr">
        <is>
          <t>[ENTER]</t>
        </is>
      </c>
      <c r="C14" s="18" t="inlineStr">
        <is>
          <t>[SELECT: USD|EUR|GBP]
Ex1 (A9): USD — all costs to be quoted in US dollars ; Ex2 (A3): EUR — all supplier quotations must be submitted in EURO ; Ex3 (A4): GBP — sample project pricing in British pounds ; Ex4 (A13): USD — with note that local market costs may be converted at proposal-date exchange rates</t>
        </is>
      </c>
    </row>
    <row r="15">
      <c r="A15" s="23" t="inlineStr">
        <is>
          <t>Fieldwork Preparation</t>
        </is>
      </c>
      <c r="B15" s="15" t="inlineStr">
        <is>
          <t>[ENTER]</t>
        </is>
      </c>
    </row>
    <row r="16">
      <c r="A16" s="23" t="inlineStr">
        <is>
          <t>Fieldwork</t>
        </is>
      </c>
      <c r="B16" s="15" t="inlineStr">
        <is>
          <t>[ENTER]</t>
        </is>
      </c>
    </row>
    <row r="17">
      <c r="A17" s="23" t="inlineStr">
        <is>
          <t>Data Processing</t>
        </is>
      </c>
      <c r="B17" s="15" t="inlineStr">
        <is>
          <t>[ENTER]</t>
        </is>
      </c>
    </row>
    <row r="18">
      <c r="A18" s="23" t="inlineStr">
        <is>
          <t>Analytics</t>
        </is>
      </c>
      <c r="B18" s="15" t="inlineStr">
        <is>
          <t>[ENTER]</t>
        </is>
      </c>
    </row>
    <row r="19">
      <c r="A19" s="23" t="inlineStr">
        <is>
          <t>Overheads</t>
        </is>
      </c>
      <c r="B19" s="15" t="inlineStr">
        <is>
          <t>[ENTER]</t>
        </is>
      </c>
    </row>
    <row r="20">
      <c r="A20" s="23" t="inlineStr">
        <is>
          <t>Other Costs</t>
        </is>
      </c>
      <c r="B20" s="15" t="inlineStr">
        <is>
          <t>[ENTER]</t>
        </is>
      </c>
    </row>
    <row r="21">
      <c r="A21" s="24" t="inlineStr">
        <is>
          <t>TOTAL</t>
        </is>
      </c>
      <c r="B21" s="24">
        <f>SUM(B14:B20)</f>
        <v/>
      </c>
    </row>
    <row r="22"/>
    <row r="23"/>
    <row r="24">
      <c r="A24" s="22" t="inlineStr">
        <is>
          <t>SCENARIO 2</t>
        </is>
      </c>
    </row>
    <row r="25">
      <c r="A25" s="3" t="inlineStr">
        <is>
          <t>Research Type:</t>
        </is>
      </c>
      <c r="B25" s="33" t="inlineStr">
        <is>
          <t>[SELECT: Shopper | Segmentation | U&amp;A | Tracking | Packaging | Qual | Claims | Expert | Concept | Campaign Dev | Exploratory | Market Sizing]
Ex1 (A10): Expert Research (Diary Study) ; Ex2 (A7): Chart Review</t>
        </is>
      </c>
      <c r="C25" s="26" t="n"/>
      <c r="D25" s="26" t="n"/>
      <c r="E25" s="26" t="n"/>
      <c r="F25" s="26" t="n"/>
      <c r="G25" s="27" t="n"/>
    </row>
    <row r="26">
      <c r="A26" s="3" t="inlineStr">
        <is>
          <t>Objectives:</t>
        </is>
      </c>
      <c r="B26" s="33" t="inlineStr">
        <is>
          <t>[ENTER: Brief description of scenario objectives]
Ex1 (A13): [CLIENT_ORG] is a global healthcare company focused on patient needs. Our business includes a diversified offering of branded and generic prescription medicines, consumer healthcare products, human va ; Ex2 (A9): Arden Laboratories, Inc. is a global leader in eye care and vision science. The company develops, manufactures and markets a broad range of eye care products including contact lenses, lens care soluti ; Ex3 (A10): Zephora is a global animal health company committed to enhancing the health of animals. In [DATE], Zephora launched [BRAND_A], a novel drug indicated for the control of pruritus associated with allerg</t>
        </is>
      </c>
      <c r="C26" s="26" t="n"/>
      <c r="D26" s="26" t="n"/>
      <c r="E26" s="26" t="n"/>
      <c r="F26" s="26" t="n"/>
      <c r="G26" s="27" t="n"/>
    </row>
    <row r="27">
      <c r="A27" s="3" t="inlineStr">
        <is>
          <t>Timeline:</t>
        </is>
      </c>
      <c r="B27" s="33" t="inlineStr">
        <is>
          <t>[ENTER: e.g., '26 weeks from kickoff to final presentation']
Ex1 (A9): Phase 2-3 approx 13 weeks from launch to final deliverables ; Ex2 (A10): 6+ months monthly reporting</t>
        </is>
      </c>
      <c r="C27" s="26" t="n"/>
      <c r="D27" s="26" t="n"/>
      <c r="E27" s="26" t="n"/>
      <c r="F27" s="26" t="n"/>
      <c r="G27" s="27" t="n"/>
    </row>
    <row r="28">
      <c r="A28" s="3" t="inlineStr">
        <is>
          <t>Markets:</t>
        </is>
      </c>
      <c r="B28" s="33" t="inlineStr">
        <is>
          <t>[ENTER: e.g., 'UK' or 'US, Canada, Mexico']
Ex1 (A9): USD — all costs to be quoted in US dollars ; Ex2 (A3): EUR — all supplier quotations must be submitted in EURO ; Ex3 (A4): GBP — sample project pricing in British pounds ; Ex4 (A13): USD — with note that local market costs may be converted at proposal-date exchange rates</t>
        </is>
      </c>
      <c r="C28" s="26" t="n"/>
      <c r="D28" s="26" t="n"/>
      <c r="E28" s="26" t="n"/>
      <c r="F28" s="26" t="n"/>
      <c r="G28" s="27" t="n"/>
    </row>
    <row r="29">
      <c r="A29" s="3" t="inlineStr">
        <is>
          <t>Methodology:</t>
        </is>
      </c>
      <c r="B29" s="33" t="inlineStr">
        <is>
          <t>[ENTER: e.g., '12 IDIs per market, 60 min each, with T2 neurologists']
Ex1 (A9): USD — all costs to be quoted in US dollars ; Ex2 (A3): EUR — all supplier quotations must be submitted in EURO ; Ex3 (A4): GBP — sample project pricing in British pounds ; Ex4 (A13): USD — with note that local market costs may be converted at proposal-date exchange rates</t>
        </is>
      </c>
      <c r="C29" s="26" t="n"/>
      <c r="D29" s="26" t="n"/>
      <c r="E29" s="26" t="n"/>
      <c r="F29" s="26" t="n"/>
      <c r="G29" s="27" t="n"/>
    </row>
    <row r="30">
      <c r="A30" s="3" t="inlineStr">
        <is>
          <t>Sample Size:</t>
        </is>
      </c>
      <c r="B30" s="33" t="inlineStr">
        <is>
          <t>[ENTER: e.g., 'N=1800 distributed equally across 3 markets']
Ex1 (A9): N=2250 seg + N=1275 seg + N=925 PtP ; Ex2 (A10): 30 clinics (~100-150 vets) ; Ex3 (A13): N=200-300 HCPs per market per TA</t>
        </is>
      </c>
      <c r="C30" s="26" t="n"/>
      <c r="D30" s="26" t="n"/>
      <c r="E30" s="26" t="n"/>
      <c r="F30" s="26" t="n"/>
      <c r="G30" s="27" t="n"/>
    </row>
    <row r="31">
      <c r="A31" s="3" t="inlineStr">
        <is>
          <t>Deliverables:</t>
        </is>
      </c>
      <c r="B31" s="33" t="inlineStr">
        <is>
          <t>[ENTER: e.g., 'Comprehensive report and PowerPoint presentation']
Ex1 (A9): Storyline PPT with appendix + typing tool + training deck ; Ex2 (A10): Monthly PPT + final PPT + in-person presentation + ongoing consulting</t>
        </is>
      </c>
      <c r="C31" s="26" t="n"/>
      <c r="D31" s="26" t="n"/>
      <c r="E31" s="26" t="n"/>
      <c r="F31" s="26" t="n"/>
      <c r="G31" s="27" t="n"/>
    </row>
    <row r="32"/>
    <row r="33">
      <c r="A33" s="9" t="inlineStr">
        <is>
          <t>Cost Driver</t>
        </is>
      </c>
      <c r="B33" s="9" t="inlineStr">
        <is>
          <t>Total Cost</t>
        </is>
      </c>
      <c r="C33" s="9" t="inlineStr">
        <is>
          <t>Currency</t>
        </is>
      </c>
    </row>
    <row r="34">
      <c r="A34" s="23" t="inlineStr">
        <is>
          <t>Project Initiation</t>
        </is>
      </c>
      <c r="B34" s="15" t="inlineStr">
        <is>
          <t>[ENTER]</t>
        </is>
      </c>
      <c r="C34" s="18" t="inlineStr">
        <is>
          <t>[SELECT: USD|EUR|GBP]
Ex1 (A9): USD — all costs to be quoted in US dollars ; Ex2 (A3): EUR — all supplier quotations must be submitted in EURO ; Ex3 (A4): GBP — sample project pricing in British pounds ; Ex4 (A13): USD — with note that local market costs may be converted at proposal-date exchange rates</t>
        </is>
      </c>
    </row>
    <row r="35">
      <c r="A35" s="23" t="inlineStr">
        <is>
          <t>Fieldwork Preparation</t>
        </is>
      </c>
      <c r="B35" s="15" t="inlineStr">
        <is>
          <t>[ENTER]</t>
        </is>
      </c>
    </row>
    <row r="36">
      <c r="A36" s="23" t="inlineStr">
        <is>
          <t>Fieldwork</t>
        </is>
      </c>
      <c r="B36" s="15" t="inlineStr">
        <is>
          <t>[ENTER]</t>
        </is>
      </c>
    </row>
    <row r="37">
      <c r="A37" s="23" t="inlineStr">
        <is>
          <t>Data Processing</t>
        </is>
      </c>
      <c r="B37" s="15" t="inlineStr">
        <is>
          <t>[ENTER]</t>
        </is>
      </c>
    </row>
    <row r="38">
      <c r="A38" s="23" t="inlineStr">
        <is>
          <t>Analytics</t>
        </is>
      </c>
      <c r="B38" s="15" t="inlineStr">
        <is>
          <t>[ENTER]</t>
        </is>
      </c>
    </row>
    <row r="39">
      <c r="A39" s="23" t="inlineStr">
        <is>
          <t>Overheads</t>
        </is>
      </c>
      <c r="B39" s="15" t="inlineStr">
        <is>
          <t>[ENTER]</t>
        </is>
      </c>
    </row>
    <row r="40">
      <c r="A40" s="23" t="inlineStr">
        <is>
          <t>Other Costs</t>
        </is>
      </c>
      <c r="B40" s="15" t="inlineStr">
        <is>
          <t>[ENTER]</t>
        </is>
      </c>
    </row>
    <row r="41">
      <c r="A41" s="24" t="inlineStr">
        <is>
          <t>TOTAL</t>
        </is>
      </c>
      <c r="B41" s="24">
        <f>SUM(B34:B40)</f>
        <v/>
      </c>
    </row>
    <row r="42"/>
    <row r="43"/>
    <row r="44">
      <c r="A44" s="22" t="inlineStr">
        <is>
          <t>SCENARIO 3</t>
        </is>
      </c>
    </row>
    <row r="45">
      <c r="A45" s="3" t="inlineStr">
        <is>
          <t>Research Type:</t>
        </is>
      </c>
      <c r="B45" s="18" t="inlineStr">
        <is>
          <t>[SELECT: Shopper | Segmentation | U&amp;A | Tracking | Packaging | Qual | Claims | Expert | Concept | Campaign Dev | Exploratory | Market Sizing]</t>
        </is>
      </c>
      <c r="C45" s="26" t="n"/>
      <c r="D45" s="26" t="n"/>
      <c r="E45" s="26" t="n"/>
      <c r="F45" s="26" t="n"/>
      <c r="G45" s="27" t="n"/>
    </row>
    <row r="46">
      <c r="A46" s="3" t="inlineStr">
        <is>
          <t>Objectives:</t>
        </is>
      </c>
      <c r="B46" s="33" t="inlineStr">
        <is>
          <t>[ENTER: Brief description of scenario objectives]
Ex1 (A13): [CLIENT_ORG] is a global healthcare company focused on patient needs. Our business includes a diversified offering of branded and generic prescription medicines, consumer healthcare products, human va ; Ex2 (A9): Arden Laboratories, Inc. is a global leader in eye care and vision science. The company develops, manufactures and markets a broad range of eye care products including contact lenses, lens care soluti ; Ex3 (A10): Zephora is a global animal health company committed to enhancing the health of animals. In [DATE], Zephora launched [BRAND_A], a novel drug indicated for the control of pruritus associated with allerg</t>
        </is>
      </c>
      <c r="C46" s="26" t="n"/>
      <c r="D46" s="26" t="n"/>
      <c r="E46" s="26" t="n"/>
      <c r="F46" s="26" t="n"/>
      <c r="G46" s="27" t="n"/>
    </row>
    <row r="47">
      <c r="A47" s="3" t="inlineStr">
        <is>
          <t>Timeline:</t>
        </is>
      </c>
      <c r="B47" s="33" t="inlineStr">
        <is>
          <t>[ENTER: e.g., '26 weeks from kickoff to final presentation']
Ex1 (A9): Phase 2-3 approx 13 weeks from launch to final deliverables ; Ex2 (A10): 6+ months monthly reporting</t>
        </is>
      </c>
      <c r="C47" s="26" t="n"/>
      <c r="D47" s="26" t="n"/>
      <c r="E47" s="26" t="n"/>
      <c r="F47" s="26" t="n"/>
      <c r="G47" s="27" t="n"/>
    </row>
    <row r="48">
      <c r="A48" s="3" t="inlineStr">
        <is>
          <t>Markets:</t>
        </is>
      </c>
      <c r="B48" s="33" t="inlineStr">
        <is>
          <t>[ENTER: e.g., 'UK' or 'US, Canada, Mexico']
Ex1 (A9): USD — all costs to be quoted in US dollars ; Ex2 (A3): EUR — all supplier quotations must be submitted in EURO ; Ex3 (A4): GBP — sample project pricing in British pounds ; Ex4 (A13): USD — with note that local market costs may be converted at proposal-date exchange rates</t>
        </is>
      </c>
      <c r="C48" s="26" t="n"/>
      <c r="D48" s="26" t="n"/>
      <c r="E48" s="26" t="n"/>
      <c r="F48" s="26" t="n"/>
      <c r="G48" s="27" t="n"/>
    </row>
    <row r="49">
      <c r="A49" s="3" t="inlineStr">
        <is>
          <t>Methodology:</t>
        </is>
      </c>
      <c r="B49" s="33" t="inlineStr">
        <is>
          <t>[ENTER: e.g., '12 IDIs per market, 60 min each, with T2 neurologists']
Ex1 (A9): USD — all costs to be quoted in US dollars ; Ex2 (A3): EUR — all supplier quotations must be submitted in EURO ; Ex3 (A4): GBP — sample project pricing in British pounds ; Ex4 (A13): USD — with note that local market costs may be converted at proposal-date exchange rates</t>
        </is>
      </c>
      <c r="C49" s="26" t="n"/>
      <c r="D49" s="26" t="n"/>
      <c r="E49" s="26" t="n"/>
      <c r="F49" s="26" t="n"/>
      <c r="G49" s="27" t="n"/>
    </row>
    <row r="50">
      <c r="A50" s="3" t="inlineStr">
        <is>
          <t>Sample Size:</t>
        </is>
      </c>
      <c r="B50" s="33" t="inlineStr">
        <is>
          <t>[ENTER: e.g., 'N=1800 distributed equally across 3 markets']
Ex1 (A9): N=2250 seg + N=1275 seg + N=925 PtP ; Ex2 (A10): 30 clinics (~100-150 vets) ; Ex3 (A13): N=200-300 HCPs per market per TA</t>
        </is>
      </c>
      <c r="C50" s="26" t="n"/>
      <c r="D50" s="26" t="n"/>
      <c r="E50" s="26" t="n"/>
      <c r="F50" s="26" t="n"/>
      <c r="G50" s="27" t="n"/>
    </row>
    <row r="51">
      <c r="A51" s="3" t="inlineStr">
        <is>
          <t>Deliverables:</t>
        </is>
      </c>
      <c r="B51" s="33" t="inlineStr">
        <is>
          <t>[ENTER: e.g., 'Comprehensive report and PowerPoint presentation']
Ex1 (A9): Storyline PPT with appendix + typing tool + training deck ; Ex2 (A10): Monthly PPT + final PPT + in-person presentation + ongoing consulting</t>
        </is>
      </c>
      <c r="C51" s="26" t="n"/>
      <c r="D51" s="26" t="n"/>
      <c r="E51" s="26" t="n"/>
      <c r="F51" s="26" t="n"/>
      <c r="G51" s="27" t="n"/>
    </row>
    <row r="52"/>
    <row r="53">
      <c r="A53" s="9" t="inlineStr">
        <is>
          <t>Cost Driver</t>
        </is>
      </c>
      <c r="B53" s="9" t="inlineStr">
        <is>
          <t>Total Cost</t>
        </is>
      </c>
      <c r="C53" s="9" t="inlineStr">
        <is>
          <t>Currency</t>
        </is>
      </c>
    </row>
    <row r="54">
      <c r="A54" s="23" t="inlineStr">
        <is>
          <t>Project Initiation</t>
        </is>
      </c>
      <c r="B54" s="15" t="inlineStr">
        <is>
          <t>[ENTER]</t>
        </is>
      </c>
      <c r="C54" s="18" t="inlineStr">
        <is>
          <t>[SELECT: USD|EUR|GBP]
Ex1 (A9): USD — all costs to be quoted in US dollars ; Ex2 (A3): EUR — all supplier quotations must be submitted in EURO ; Ex3 (A4): GBP — sample project pricing in British pounds ; Ex4 (A13): USD — with note that local market costs may be converted at proposal-date exchange rates</t>
        </is>
      </c>
    </row>
    <row r="55">
      <c r="A55" s="23" t="inlineStr">
        <is>
          <t>Fieldwork Preparation</t>
        </is>
      </c>
      <c r="B55" s="15" t="inlineStr">
        <is>
          <t>[ENTER]</t>
        </is>
      </c>
    </row>
    <row r="56">
      <c r="A56" s="23" t="inlineStr">
        <is>
          <t>Fieldwork</t>
        </is>
      </c>
      <c r="B56" s="15" t="inlineStr">
        <is>
          <t>[ENTER]</t>
        </is>
      </c>
    </row>
    <row r="57">
      <c r="A57" s="23" t="inlineStr">
        <is>
          <t>Data Processing</t>
        </is>
      </c>
      <c r="B57" s="15" t="inlineStr">
        <is>
          <t>[ENTER]</t>
        </is>
      </c>
    </row>
    <row r="58">
      <c r="A58" s="23" t="inlineStr">
        <is>
          <t>Analytics</t>
        </is>
      </c>
      <c r="B58" s="15" t="inlineStr">
        <is>
          <t>[ENTER]</t>
        </is>
      </c>
    </row>
    <row r="59">
      <c r="A59" s="23" t="inlineStr">
        <is>
          <t>Overheads</t>
        </is>
      </c>
      <c r="B59" s="15" t="inlineStr">
        <is>
          <t>[ENTER]</t>
        </is>
      </c>
    </row>
    <row r="60">
      <c r="A60" s="23" t="inlineStr">
        <is>
          <t>Other Costs</t>
        </is>
      </c>
      <c r="B60" s="15" t="inlineStr">
        <is>
          <t>[ENTER]</t>
        </is>
      </c>
    </row>
    <row r="61">
      <c r="A61" s="24" t="inlineStr">
        <is>
          <t>TOTAL</t>
        </is>
      </c>
      <c r="B61" s="24">
        <f>SUM(B54:B60)</f>
        <v/>
      </c>
    </row>
    <row r="62"/>
    <row r="63"/>
    <row r="64">
      <c r="A64" s="17" t="inlineStr">
        <is>
          <t>EXAMPLE (from RFP-A4 Consumer): Shopper Research — UK, 26 weeks, Qual Research (shop-along + in-store interviews + in-home depth interviews), N=3600 spread across 3 channels. Cost drivers: Project Initiation | Fieldwork Prep | Fieldwork | Data Processing | Analytics | Overheads | Other.</t>
        </is>
      </c>
      <c r="B64" s="26" t="n"/>
      <c r="C64" s="26" t="n"/>
      <c r="D64" s="26" t="n"/>
      <c r="E64" s="26" t="n"/>
      <c r="F64" s="26" t="n"/>
      <c r="G64" s="27" t="n"/>
    </row>
  </sheetData>
  <mergeCells count="27">
    <mergeCell ref="A4:G4"/>
    <mergeCell ref="B8:G8"/>
    <mergeCell ref="B29:G29"/>
    <mergeCell ref="B10:G10"/>
    <mergeCell ref="A44:G44"/>
    <mergeCell ref="B28:G28"/>
    <mergeCell ref="B9:G9"/>
    <mergeCell ref="B49:G49"/>
    <mergeCell ref="A24:G24"/>
    <mergeCell ref="A64:G64"/>
    <mergeCell ref="B30:G30"/>
    <mergeCell ref="B6:G6"/>
    <mergeCell ref="B51:G51"/>
    <mergeCell ref="A1:G1"/>
    <mergeCell ref="B5:G5"/>
    <mergeCell ref="B45:G45"/>
    <mergeCell ref="B50:G50"/>
    <mergeCell ref="B26:G26"/>
    <mergeCell ref="B7:G7"/>
    <mergeCell ref="B25:G25"/>
    <mergeCell ref="B47:G47"/>
    <mergeCell ref="B46:G46"/>
    <mergeCell ref="B31:G31"/>
    <mergeCell ref="B27:G27"/>
    <mergeCell ref="A2:G2"/>
    <mergeCell ref="B48:G48"/>
    <mergeCell ref="B11:G11"/>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N19"/>
  <sheetViews>
    <sheetView workbookViewId="0">
      <selection activeCell="A1" sqref="A1"/>
    </sheetView>
  </sheetViews>
  <sheetFormatPr baseColWidth="8" defaultRowHeight="15"/>
  <cols>
    <col width="35"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s>
  <sheetData>
    <row r="1">
      <c r="A1" s="2" t="inlineStr">
        <is>
          <t>PROJECT TIMELINE &amp; MILESTONES</t>
        </is>
      </c>
    </row>
    <row r="2">
      <c r="A2" s="19" t="inlineStr">
        <is>
          <t>Map project phases across weeks/months. Mark milestones, dependencies, and responsible parties. Vendors should provide their own detailed Gantt chart in their proposal.</t>
        </is>
      </c>
      <c r="B2" s="26" t="n"/>
      <c r="C2" s="26" t="n"/>
      <c r="D2" s="26" t="n"/>
      <c r="E2" s="26" t="n"/>
      <c r="F2" s="26" t="n"/>
      <c r="G2" s="26" t="n"/>
      <c r="H2" s="26" t="n"/>
      <c r="I2" s="26" t="n"/>
      <c r="J2" s="26" t="n"/>
      <c r="K2" s="26" t="n"/>
      <c r="L2" s="26" t="n"/>
      <c r="M2" s="26" t="n"/>
      <c r="N2" s="27" t="n"/>
    </row>
    <row r="3"/>
    <row r="4">
      <c r="A4" s="9" t="inlineStr">
        <is>
          <t>Phase / Milestone</t>
        </is>
      </c>
      <c r="B4" s="9" t="inlineStr">
        <is>
          <t>Owner</t>
        </is>
      </c>
      <c r="C4" s="9" t="inlineStr">
        <is>
          <t>Week 1-2</t>
        </is>
      </c>
      <c r="D4" s="9" t="inlineStr">
        <is>
          <t>Week 3-4</t>
        </is>
      </c>
      <c r="E4" s="9" t="inlineStr">
        <is>
          <t>Week 5-6</t>
        </is>
      </c>
      <c r="F4" s="9" t="inlineStr">
        <is>
          <t>Week 7-8</t>
        </is>
      </c>
      <c r="G4" s="9" t="inlineStr">
        <is>
          <t>Week 9-10</t>
        </is>
      </c>
      <c r="H4" s="9" t="inlineStr">
        <is>
          <t>Week 11-12</t>
        </is>
      </c>
      <c r="I4" s="9" t="inlineStr">
        <is>
          <t>Week 13-16</t>
        </is>
      </c>
      <c r="J4" s="9" t="inlineStr">
        <is>
          <t>Week 17-20</t>
        </is>
      </c>
      <c r="K4" s="9" t="inlineStr">
        <is>
          <t>Week 21-24</t>
        </is>
      </c>
      <c r="L4" s="9" t="inlineStr">
        <is>
          <t>Week 25-28</t>
        </is>
      </c>
      <c r="M4" s="9" t="inlineStr">
        <is>
          <t>Week 29-32</t>
        </is>
      </c>
      <c r="N4" s="9" t="inlineStr">
        <is>
          <t>Status</t>
        </is>
      </c>
    </row>
    <row r="5">
      <c r="A5" s="4" t="inlineStr">
        <is>
          <t>RFP Release &amp; Vendor Selection</t>
        </is>
      </c>
      <c r="B5" s="33" t="inlineStr">
        <is>
          <t>[SELECT: Client | Vendor | Joint]
Ex: Joint</t>
        </is>
      </c>
      <c r="C5" s="25" t="inlineStr"/>
      <c r="D5" s="25" t="inlineStr"/>
      <c r="E5" s="25" t="inlineStr"/>
      <c r="F5" s="25" t="inlineStr"/>
      <c r="G5" s="25" t="inlineStr"/>
      <c r="H5" s="25" t="inlineStr"/>
      <c r="I5" s="25" t="inlineStr"/>
      <c r="J5" s="25" t="inlineStr"/>
      <c r="K5" s="25" t="inlineStr"/>
      <c r="L5" s="25" t="inlineStr"/>
      <c r="M5" s="25" t="inlineStr"/>
      <c r="N5" s="18" t="inlineStr">
        <is>
          <t>[SELECT: Not Started | In Progress | Complete]</t>
        </is>
      </c>
    </row>
    <row r="6">
      <c r="A6" s="4" t="inlineStr">
        <is>
          <t>Kick-off &amp; Project Planning</t>
        </is>
      </c>
      <c r="B6" s="33" t="inlineStr">
        <is>
          <t>[SELECT: Client | Vendor | Joint]
Ex: Joint</t>
        </is>
      </c>
      <c r="C6" s="25" t="inlineStr"/>
      <c r="D6" s="25" t="inlineStr"/>
      <c r="E6" s="25" t="inlineStr"/>
      <c r="F6" s="25" t="inlineStr"/>
      <c r="G6" s="25" t="inlineStr"/>
      <c r="H6" s="25" t="inlineStr"/>
      <c r="I6" s="25" t="inlineStr"/>
      <c r="J6" s="25" t="inlineStr"/>
      <c r="K6" s="25" t="inlineStr"/>
      <c r="L6" s="25" t="inlineStr"/>
      <c r="M6" s="25" t="inlineStr"/>
      <c r="N6" s="18" t="inlineStr">
        <is>
          <t>[SELECT: Not Started | In Progress | Complete]</t>
        </is>
      </c>
    </row>
    <row r="7">
      <c r="A7" s="4" t="inlineStr">
        <is>
          <t>Questionnaire / Guide Development</t>
        </is>
      </c>
      <c r="B7" s="33" t="inlineStr">
        <is>
          <t>[SELECT: Client | Vendor | Joint]
Ex: Vendor</t>
        </is>
      </c>
      <c r="C7" s="25" t="inlineStr"/>
      <c r="D7" s="25" t="inlineStr"/>
      <c r="E7" s="25" t="inlineStr"/>
      <c r="F7" s="25" t="inlineStr"/>
      <c r="G7" s="25" t="inlineStr"/>
      <c r="H7" s="25" t="inlineStr"/>
      <c r="I7" s="25" t="inlineStr"/>
      <c r="J7" s="25" t="inlineStr"/>
      <c r="K7" s="25" t="inlineStr"/>
      <c r="L7" s="25" t="inlineStr"/>
      <c r="M7" s="25" t="inlineStr"/>
      <c r="N7" s="18" t="inlineStr">
        <is>
          <t>[SELECT: Not Started | In Progress | Complete]</t>
        </is>
      </c>
    </row>
    <row r="8">
      <c r="A8" s="4" t="inlineStr">
        <is>
          <t>Regulatory / Compliance Review</t>
        </is>
      </c>
      <c r="B8" s="33" t="inlineStr">
        <is>
          <t>[SELECT: Client | Vendor | Joint]
Ex: Client</t>
        </is>
      </c>
      <c r="C8" s="25" t="inlineStr"/>
      <c r="D8" s="25" t="inlineStr"/>
      <c r="E8" s="25" t="inlineStr"/>
      <c r="F8" s="25" t="inlineStr"/>
      <c r="G8" s="25" t="inlineStr"/>
      <c r="H8" s="25" t="inlineStr"/>
      <c r="I8" s="25" t="inlineStr"/>
      <c r="J8" s="25" t="inlineStr"/>
      <c r="K8" s="25" t="inlineStr"/>
      <c r="L8" s="25" t="inlineStr"/>
      <c r="M8" s="25" t="inlineStr"/>
      <c r="N8" s="18" t="inlineStr">
        <is>
          <t>[SELECT: Not Started | In Progress | Complete]</t>
        </is>
      </c>
    </row>
    <row r="9">
      <c r="A9" s="4" t="inlineStr">
        <is>
          <t>Translation &amp; Localization</t>
        </is>
      </c>
      <c r="B9" s="33" t="inlineStr">
        <is>
          <t>[SELECT: Client | Vendor | Joint]
Ex: Joint</t>
        </is>
      </c>
      <c r="C9" s="25" t="inlineStr"/>
      <c r="D9" s="25" t="inlineStr"/>
      <c r="E9" s="25" t="inlineStr"/>
      <c r="F9" s="25" t="inlineStr"/>
      <c r="G9" s="25" t="inlineStr"/>
      <c r="H9" s="25" t="inlineStr"/>
      <c r="I9" s="25" t="inlineStr"/>
      <c r="J9" s="25" t="inlineStr"/>
      <c r="K9" s="25" t="inlineStr"/>
      <c r="L9" s="25" t="inlineStr"/>
      <c r="M9" s="25" t="inlineStr"/>
      <c r="N9" s="18" t="inlineStr">
        <is>
          <t>[SELECT: Not Started | In Progress | Complete]</t>
        </is>
      </c>
    </row>
    <row r="10">
      <c r="A10" s="4" t="inlineStr">
        <is>
          <t>Programming &amp; Pilot</t>
        </is>
      </c>
      <c r="B10" s="33" t="inlineStr">
        <is>
          <t>[SELECT: Client | Vendor | Joint]
Ex: Vendor</t>
        </is>
      </c>
      <c r="C10" s="25" t="inlineStr"/>
      <c r="D10" s="25" t="inlineStr"/>
      <c r="E10" s="25" t="inlineStr"/>
      <c r="F10" s="25" t="inlineStr"/>
      <c r="G10" s="25" t="inlineStr"/>
      <c r="H10" s="25" t="inlineStr"/>
      <c r="I10" s="25" t="inlineStr"/>
      <c r="J10" s="25" t="inlineStr"/>
      <c r="K10" s="25" t="inlineStr"/>
      <c r="L10" s="25" t="inlineStr"/>
      <c r="M10" s="25" t="inlineStr"/>
      <c r="N10" s="18" t="inlineStr">
        <is>
          <t>[SELECT: Not Started | In Progress | Complete]</t>
        </is>
      </c>
    </row>
    <row r="11">
      <c r="A11" s="4" t="inlineStr">
        <is>
          <t>Recruitment</t>
        </is>
      </c>
      <c r="B11" s="33" t="inlineStr">
        <is>
          <t>[SELECT: Client | Vendor | Joint]
Ex: Vendor</t>
        </is>
      </c>
      <c r="C11" s="25" t="inlineStr"/>
      <c r="D11" s="25" t="inlineStr"/>
      <c r="E11" s="25" t="inlineStr"/>
      <c r="F11" s="25" t="inlineStr"/>
      <c r="G11" s="25" t="inlineStr"/>
      <c r="H11" s="25" t="inlineStr"/>
      <c r="I11" s="25" t="inlineStr"/>
      <c r="J11" s="25" t="inlineStr"/>
      <c r="K11" s="25" t="inlineStr"/>
      <c r="L11" s="25" t="inlineStr"/>
      <c r="M11" s="25" t="inlineStr"/>
      <c r="N11" s="18" t="inlineStr">
        <is>
          <t>[SELECT: Not Started | In Progress | Complete]</t>
        </is>
      </c>
    </row>
    <row r="12">
      <c r="A12" s="4" t="inlineStr">
        <is>
          <t>Fieldwork</t>
        </is>
      </c>
      <c r="B12" s="33" t="inlineStr">
        <is>
          <t>[SELECT: Client | Vendor | Joint]
Ex: Vendor</t>
        </is>
      </c>
      <c r="C12" s="25" t="inlineStr"/>
      <c r="D12" s="25" t="inlineStr"/>
      <c r="E12" s="25" t="inlineStr"/>
      <c r="F12" s="25" t="inlineStr"/>
      <c r="G12" s="25" t="inlineStr"/>
      <c r="H12" s="25" t="inlineStr"/>
      <c r="I12" s="25" t="inlineStr"/>
      <c r="J12" s="25" t="inlineStr"/>
      <c r="K12" s="25" t="inlineStr"/>
      <c r="L12" s="25" t="inlineStr"/>
      <c r="M12" s="25" t="inlineStr"/>
      <c r="N12" s="18" t="inlineStr">
        <is>
          <t>[SELECT: Not Started | In Progress | Complete]</t>
        </is>
      </c>
    </row>
    <row r="13">
      <c r="A13" s="4" t="inlineStr">
        <is>
          <t>Data Processing &amp; Cleaning</t>
        </is>
      </c>
      <c r="B13" s="33" t="inlineStr">
        <is>
          <t>[SELECT: Client | Vendor | Joint]
Ex: Joint</t>
        </is>
      </c>
      <c r="C13" s="25" t="inlineStr"/>
      <c r="D13" s="25" t="inlineStr"/>
      <c r="E13" s="25" t="inlineStr"/>
      <c r="F13" s="25" t="inlineStr"/>
      <c r="G13" s="25" t="inlineStr"/>
      <c r="H13" s="25" t="inlineStr"/>
      <c r="I13" s="25" t="inlineStr"/>
      <c r="J13" s="25" t="inlineStr"/>
      <c r="K13" s="25" t="inlineStr"/>
      <c r="L13" s="25" t="inlineStr"/>
      <c r="M13" s="25" t="inlineStr"/>
      <c r="N13" s="18" t="inlineStr">
        <is>
          <t>[SELECT: Not Started | In Progress | Complete]</t>
        </is>
      </c>
    </row>
    <row r="14">
      <c r="A14" s="4" t="inlineStr">
        <is>
          <t>Analysis &amp; Modeling</t>
        </is>
      </c>
      <c r="B14" s="33" t="inlineStr">
        <is>
          <t>[SELECT: Client | Vendor | Joint]
Ex: Vendor</t>
        </is>
      </c>
      <c r="C14" s="25" t="inlineStr"/>
      <c r="D14" s="25" t="inlineStr"/>
      <c r="E14" s="25" t="inlineStr"/>
      <c r="F14" s="25" t="inlineStr"/>
      <c r="G14" s="25" t="inlineStr"/>
      <c r="H14" s="25" t="inlineStr"/>
      <c r="I14" s="25" t="inlineStr"/>
      <c r="J14" s="25" t="inlineStr"/>
      <c r="K14" s="25" t="inlineStr"/>
      <c r="L14" s="25" t="inlineStr"/>
      <c r="M14" s="25" t="inlineStr"/>
      <c r="N14" s="18" t="inlineStr">
        <is>
          <t>[SELECT: Not Started | In Progress | Complete]</t>
        </is>
      </c>
    </row>
    <row r="15">
      <c r="A15" s="4" t="inlineStr">
        <is>
          <t>Topline / Interim Report</t>
        </is>
      </c>
      <c r="B15" s="33" t="inlineStr">
        <is>
          <t>[SELECT: Client | Vendor | Joint]
Ex: Vendor</t>
        </is>
      </c>
      <c r="C15" s="25" t="inlineStr"/>
      <c r="D15" s="25" t="inlineStr"/>
      <c r="E15" s="25" t="inlineStr"/>
      <c r="F15" s="25" t="inlineStr"/>
      <c r="G15" s="25" t="inlineStr"/>
      <c r="H15" s="25" t="inlineStr"/>
      <c r="I15" s="25" t="inlineStr"/>
      <c r="J15" s="25" t="inlineStr"/>
      <c r="K15" s="25" t="inlineStr"/>
      <c r="L15" s="25" t="inlineStr"/>
      <c r="M15" s="25" t="inlineStr"/>
      <c r="N15" s="18" t="inlineStr">
        <is>
          <t>[SELECT: Not Started | In Progress | Complete]</t>
        </is>
      </c>
    </row>
    <row r="16">
      <c r="A16" s="4" t="inlineStr">
        <is>
          <t>Final Report &amp; Presentation</t>
        </is>
      </c>
      <c r="B16" s="33" t="inlineStr">
        <is>
          <t>[SELECT: Client | Vendor | Joint]
Ex: Vendor</t>
        </is>
      </c>
      <c r="C16" s="25" t="inlineStr"/>
      <c r="D16" s="25" t="inlineStr"/>
      <c r="E16" s="25" t="inlineStr"/>
      <c r="F16" s="25" t="inlineStr"/>
      <c r="G16" s="25" t="inlineStr"/>
      <c r="H16" s="25" t="inlineStr"/>
      <c r="I16" s="25" t="inlineStr"/>
      <c r="J16" s="25" t="inlineStr"/>
      <c r="K16" s="25" t="inlineStr"/>
      <c r="L16" s="25" t="inlineStr"/>
      <c r="M16" s="25" t="inlineStr"/>
      <c r="N16" s="18" t="inlineStr">
        <is>
          <t>[SELECT: Not Started | In Progress | Complete]</t>
        </is>
      </c>
    </row>
    <row r="17">
      <c r="A17" s="4" t="inlineStr">
        <is>
          <t>Post-Delivery Consulting</t>
        </is>
      </c>
      <c r="B17" s="33" t="inlineStr">
        <is>
          <t>[SELECT: Client | Vendor | Joint]
Ex: Joint</t>
        </is>
      </c>
      <c r="C17" s="25" t="inlineStr"/>
      <c r="D17" s="25" t="inlineStr"/>
      <c r="E17" s="25" t="inlineStr"/>
      <c r="F17" s="25" t="inlineStr"/>
      <c r="G17" s="25" t="inlineStr"/>
      <c r="H17" s="25" t="inlineStr"/>
      <c r="I17" s="25" t="inlineStr"/>
      <c r="J17" s="25" t="inlineStr"/>
      <c r="K17" s="25" t="inlineStr"/>
      <c r="L17" s="25" t="inlineStr"/>
      <c r="M17" s="25" t="inlineStr"/>
      <c r="N17" s="18" t="inlineStr">
        <is>
          <t>[SELECT: Not Started | In Progress | Complete]</t>
        </is>
      </c>
    </row>
    <row r="18"/>
    <row r="19">
      <c r="A19" s="19" t="inlineStr">
        <is>
          <t>Mark active weeks with 'X' or color-fill. Add rows for sub-tasks as needed.</t>
        </is>
      </c>
      <c r="B19" s="26" t="n"/>
      <c r="C19" s="26" t="n"/>
      <c r="D19" s="26" t="n"/>
      <c r="E19" s="26" t="n"/>
      <c r="F19" s="26" t="n"/>
      <c r="G19" s="26" t="n"/>
      <c r="H19" s="26" t="n"/>
      <c r="I19" s="26" t="n"/>
      <c r="J19" s="26" t="n"/>
      <c r="K19" s="26" t="n"/>
      <c r="L19" s="26" t="n"/>
      <c r="M19" s="26" t="n"/>
      <c r="N19" s="27" t="n"/>
    </row>
  </sheetData>
  <mergeCells count="3">
    <mergeCell ref="A19:N19"/>
    <mergeCell ref="A2:N2"/>
    <mergeCell ref="A1:N1"/>
  </mergeCells>
  <pageMargins left="0.75" right="0.75" top="1" bottom="1" header="0.5" footer="0.5"/>
</worksheet>
</file>

<file path=xl/worksheets/sheet8.xml><?xml version="1.0" encoding="utf-8"?>
<worksheet xmlns="http://schemas.openxmlformats.org/spreadsheetml/2006/main">
  <sheetPr>
    <tabColor rgb="00DA365C"/>
    <outlinePr summaryBelow="1" summaryRight="1"/>
    <pageSetUpPr/>
  </sheetPr>
  <dimension ref="A1:H12"/>
  <sheetViews>
    <sheetView workbookViewId="0">
      <selection activeCell="A1" sqref="A1"/>
    </sheetView>
  </sheetViews>
  <sheetFormatPr baseColWidth="8" defaultRowHeight="15"/>
  <cols>
    <col width="35"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VENDOR EVALUATION SCORECARD (Internal Use Only)</t>
        </is>
      </c>
    </row>
    <row r="2">
      <c r="A2" s="19" t="inlineStr">
        <is>
          <t>Score each vendor 1-5 per criterion. Weighted total auto-calculates. Based on evaluation frameworks from RFP-A1, RFP-A3, RFP-A13.</t>
        </is>
      </c>
      <c r="B2" s="26" t="n"/>
      <c r="C2" s="26" t="n"/>
      <c r="D2" s="26" t="n"/>
      <c r="E2" s="26" t="n"/>
      <c r="F2" s="26" t="n"/>
      <c r="G2" s="26" t="n"/>
      <c r="H2" s="27" t="n"/>
    </row>
    <row r="4">
      <c r="A4" s="9" t="inlineStr">
        <is>
          <t>Criterion</t>
        </is>
      </c>
      <c r="B4" s="9" t="inlineStr">
        <is>
          <t>Weight (%)</t>
        </is>
      </c>
      <c r="C4" s="9" t="inlineStr">
        <is>
          <t>Vendor A Score (1-5)</t>
        </is>
      </c>
      <c r="D4" s="9" t="inlineStr">
        <is>
          <t>Vendor A Weighted</t>
        </is>
      </c>
      <c r="E4" s="9" t="inlineStr">
        <is>
          <t>Vendor B Score (1-5)</t>
        </is>
      </c>
      <c r="F4" s="9" t="inlineStr">
        <is>
          <t>Vendor B Weighted</t>
        </is>
      </c>
      <c r="G4" s="9" t="inlineStr">
        <is>
          <t>Vendor C Score (1-5)</t>
        </is>
      </c>
      <c r="H4" s="9" t="inlineStr">
        <is>
          <t>Vendor C Weighted</t>
        </is>
      </c>
    </row>
    <row r="5">
      <c r="A5" s="4" t="inlineStr">
        <is>
          <t>Methodology &amp; Approach</t>
        </is>
      </c>
      <c r="B5" s="34" t="inlineStr">
        <is>
          <t>25
Ex (A13): 25%</t>
        </is>
      </c>
      <c r="C5" s="29" t="inlineStr"/>
      <c r="D5" s="28">
        <f>C5*B5/100</f>
        <v/>
      </c>
      <c r="E5" s="29" t="inlineStr"/>
      <c r="F5" s="28">
        <f>E5*B5/100</f>
        <v/>
      </c>
      <c r="G5" s="29" t="inlineStr"/>
      <c r="H5" s="28">
        <f>G5*B5/100</f>
        <v/>
      </c>
    </row>
    <row r="6">
      <c r="A6" s="4" t="inlineStr">
        <is>
          <t>Relevant Experience &amp; Case Studies</t>
        </is>
      </c>
      <c r="B6" s="34" t="inlineStr">
        <is>
          <t>15
Ex (A9): embedded in Quality criterion 25%</t>
        </is>
      </c>
      <c r="C6" s="29" t="inlineStr"/>
      <c r="D6" s="28">
        <f>C6*B6/100</f>
        <v/>
      </c>
      <c r="E6" s="29" t="inlineStr"/>
      <c r="F6" s="28">
        <f>E6*B6/100</f>
        <v/>
      </c>
      <c r="G6" s="29" t="inlineStr"/>
      <c r="H6" s="28">
        <f>G6*B6/100</f>
        <v/>
      </c>
    </row>
    <row r="7">
      <c r="A7" s="4" t="inlineStr">
        <is>
          <t>Team Qualifications &amp; Coverage</t>
        </is>
      </c>
      <c r="B7" s="34" t="inlineStr">
        <is>
          <t>15
Ex (A13): 20%</t>
        </is>
      </c>
      <c r="C7" s="29" t="inlineStr"/>
      <c r="D7" s="28">
        <f>C7*B7/100</f>
        <v/>
      </c>
      <c r="E7" s="29" t="inlineStr"/>
      <c r="F7" s="28">
        <f>E7*B7/100</f>
        <v/>
      </c>
      <c r="G7" s="29" t="inlineStr"/>
      <c r="H7" s="28">
        <f>G7*B7/100</f>
        <v/>
      </c>
    </row>
    <row r="8">
      <c r="A8" s="4" t="inlineStr">
        <is>
          <t>Cost / Value for Money</t>
        </is>
      </c>
      <c r="B8" s="34" t="inlineStr">
        <is>
          <t>20
Ex (A9): 20% ; Ex (A13): 20%</t>
        </is>
      </c>
      <c r="C8" s="29" t="inlineStr"/>
      <c r="D8" s="28">
        <f>C8*B8/100</f>
        <v/>
      </c>
      <c r="E8" s="29" t="inlineStr"/>
      <c r="F8" s="28">
        <f>E8*B8/100</f>
        <v/>
      </c>
      <c r="G8" s="29" t="inlineStr"/>
      <c r="H8" s="28">
        <f>G8*B8/100</f>
        <v/>
      </c>
    </row>
    <row r="9">
      <c r="A9" s="4" t="inlineStr">
        <is>
          <t>Timeline Feasibility</t>
        </is>
      </c>
      <c r="B9" s="34" t="inlineStr">
        <is>
          <t>10
Ex (A13): 15%</t>
        </is>
      </c>
      <c r="C9" s="29" t="inlineStr"/>
      <c r="D9" s="28">
        <f>C9*B9/100</f>
        <v/>
      </c>
      <c r="E9" s="29" t="inlineStr"/>
      <c r="F9" s="28">
        <f>E9*B9/100</f>
        <v/>
      </c>
      <c r="G9" s="29" t="inlineStr"/>
      <c r="H9" s="28">
        <f>G9*B9/100</f>
        <v/>
      </c>
    </row>
    <row r="10">
      <c r="A10" s="4" t="inlineStr">
        <is>
          <t>Data Quality &amp; Reporting</t>
        </is>
      </c>
      <c r="B10" s="34" t="inlineStr">
        <is>
          <t>10
Ex: embedded in methodology</t>
        </is>
      </c>
      <c r="C10" s="29" t="inlineStr"/>
      <c r="D10" s="28">
        <f>C10*B10/100</f>
        <v/>
      </c>
      <c r="E10" s="29" t="inlineStr"/>
      <c r="F10" s="28">
        <f>E10*B10/100</f>
        <v/>
      </c>
      <c r="G10" s="29" t="inlineStr"/>
      <c r="H10" s="28">
        <f>G10*B10/100</f>
        <v/>
      </c>
    </row>
    <row r="11">
      <c r="A11" s="4" t="inlineStr">
        <is>
          <t>Client Service &amp; Partnership</t>
        </is>
      </c>
      <c r="B11" s="34" t="inlineStr">
        <is>
          <t>5
Ex (A13): 10%</t>
        </is>
      </c>
      <c r="C11" s="29" t="inlineStr"/>
      <c r="D11" s="28">
        <f>C11*B11/100</f>
        <v/>
      </c>
      <c r="E11" s="29" t="inlineStr"/>
      <c r="F11" s="28">
        <f>E11*B11/100</f>
        <v/>
      </c>
      <c r="G11" s="29" t="inlineStr"/>
      <c r="H11" s="28">
        <f>G11*B11/100</f>
        <v/>
      </c>
    </row>
    <row r="12">
      <c r="A12" s="30" t="inlineStr">
        <is>
          <t>TOTAL WEIGHTED SCORE</t>
        </is>
      </c>
      <c r="B12" s="35">
        <f>SUM(B5:B11)</f>
        <v/>
      </c>
      <c r="C12" s="31" t="n"/>
      <c r="D12" s="32">
        <f>SUM(D5:D11)</f>
        <v/>
      </c>
      <c r="E12" s="31" t="n"/>
      <c r="F12" s="32">
        <f>SUM(F5:F11)</f>
        <v/>
      </c>
      <c r="G12" s="31" t="n"/>
      <c r="H12" s="32">
        <f>SUM(H5:H11)</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2026-03-12T10:42:30Z</dcterms:created>
  <dcterms:modified xmlns:dcterms="http://purl.org/dc/terms/" xmlns:xsi="http://www.w3.org/2001/XMLSchema-instance" xsi:type="dcterms:W3CDTF">2026-03-12T12:02:55Z</dcterms:modified>
</cp:coreProperties>
</file>