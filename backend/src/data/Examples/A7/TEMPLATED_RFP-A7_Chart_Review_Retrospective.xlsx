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FP Overview" sheetId="2" state="visible" r:id="rId2"/>
    <sheet xmlns:r="http://schemas.openxmlformats.org/officeDocument/2006/relationships" name="Cost Breakdown" sheetId="3" state="visible" r:id="rId3"/>
    <sheet xmlns:r="http://schemas.openxmlformats.org/officeDocument/2006/relationships" name="Markets &amp; Sample" sheetId="4" state="visible" r:id="rId4"/>
    <sheet xmlns:r="http://schemas.openxmlformats.org/officeDocument/2006/relationships" name="Vendor Capabilities" sheetId="5" state="visible" r:id="rId5"/>
    <sheet xmlns:r="http://schemas.openxmlformats.org/officeDocument/2006/relationships" name="Sample Projects" sheetId="6" state="visible" r:id="rId6"/>
    <sheet xmlns:r="http://schemas.openxmlformats.org/officeDocument/2006/relationships" name="Timeline &amp; Milestones" sheetId="7" state="visible" r:id="rId7"/>
    <sheet xmlns:r="http://schemas.openxmlformats.org/officeDocument/2006/relationships" name="Evaluation Scorecard" sheetId="8" state="visible" r:id="rId8"/>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Inter"/>
      <b val="1"/>
      <color rgb="00DA365C"/>
      <sz val="14"/>
    </font>
    <font>
      <name val="Inter"/>
      <b val="1"/>
      <color rgb="004F73CD"/>
      <sz val="12"/>
    </font>
    <font>
      <name val="Inter"/>
      <b val="1"/>
      <sz val="10"/>
    </font>
    <font>
      <name val="Inter"/>
      <color rgb="001F2937"/>
      <sz val="10"/>
    </font>
    <font>
      <name val="Inter"/>
      <b val="1"/>
      <color rgb="00FFFFFF"/>
      <sz val="11"/>
    </font>
    <font>
      <name val="Inter"/>
      <i val="1"/>
      <color rgb="00DA365C"/>
      <sz val="10"/>
    </font>
    <font>
      <name val="Inter"/>
      <i val="1"/>
      <color rgb="006B7280"/>
      <sz val="9"/>
    </font>
    <font>
      <name val="Inter"/>
      <color rgb="002E7D32"/>
      <sz val="10"/>
    </font>
    <font>
      <name val="Inter"/>
      <i val="1"/>
      <color rgb="0001579B"/>
      <sz val="9"/>
    </font>
    <font>
      <name val="Inter"/>
      <b val="1"/>
      <color rgb="001F2937"/>
      <sz val="10"/>
    </font>
    <font>
      <name val="Inter"/>
      <sz val="10"/>
    </font>
    <font>
      <name val="Inter"/>
      <b val="1"/>
      <color rgb="00FFFFFF"/>
      <sz val="10"/>
    </font>
    <font>
      <name val="Inter"/>
      <b val="1"/>
      <sz val="11"/>
    </font>
    <font>
      <name val="Inter"/>
      <b val="1"/>
      <color rgb="00DA365C"/>
      <sz val="12"/>
    </font>
  </fonts>
  <fills count="9">
    <fill>
      <patternFill/>
    </fill>
    <fill>
      <patternFill patternType="gray125"/>
    </fill>
    <fill>
      <patternFill patternType="solid">
        <fgColor rgb="00FFF3E0"/>
        <bgColor rgb="00FFF3E0"/>
      </patternFill>
    </fill>
    <fill>
      <patternFill patternType="solid">
        <fgColor rgb="00E8F5E9"/>
        <bgColor rgb="00E8F5E9"/>
      </patternFill>
    </fill>
    <fill>
      <patternFill patternType="solid">
        <fgColor rgb="00F3E5F5"/>
        <bgColor rgb="00F3E5F5"/>
      </patternFill>
    </fill>
    <fill>
      <patternFill patternType="solid">
        <fgColor rgb="00E3F2FD"/>
        <bgColor rgb="00E3F2FD"/>
      </patternFill>
    </fill>
    <fill>
      <patternFill patternType="solid">
        <fgColor rgb="001F2937"/>
        <bgColor rgb="001F2937"/>
      </patternFill>
    </fill>
    <fill>
      <patternFill patternType="solid">
        <fgColor rgb="004F73CD"/>
        <bgColor rgb="004F73CD"/>
      </patternFill>
    </fill>
    <fill>
      <patternFill patternType="solid">
        <fgColor rgb="00E5E7EB"/>
        <bgColor rgb="00E5E7EB"/>
      </patternFill>
    </fill>
  </fills>
  <borders count="6">
    <border>
      <left/>
      <right/>
      <top/>
      <bottom/>
      <diagonal/>
    </border>
    <border>
      <left style="thin">
        <color rgb="00E5E7EB"/>
      </left>
      <right style="thin">
        <color rgb="00E5E7EB"/>
      </right>
      <top style="thin">
        <color rgb="00E5E7EB"/>
      </top>
      <bottom style="thin">
        <color rgb="00E5E7EB"/>
      </bottom>
    </border>
    <border>
      <left/>
      <right/>
      <top style="thin">
        <color rgb="00E5E7EB"/>
      </top>
      <bottom/>
      <diagonal/>
    </border>
    <border>
      <left/>
      <right style="thin">
        <color rgb="00E5E7EB"/>
      </right>
      <top style="thin">
        <color rgb="00E5E7EB"/>
      </top>
      <bottom/>
      <diagonal/>
    </border>
    <border>
      <left/>
      <right/>
      <top style="thin">
        <color rgb="00E5E7EB"/>
      </top>
      <bottom style="thin">
        <color rgb="00E5E7EB"/>
      </bottom>
      <diagonal/>
    </border>
    <border>
      <left/>
      <right style="thin">
        <color rgb="00E5E7EB"/>
      </right>
      <top style="thin">
        <color rgb="00E5E7EB"/>
      </top>
      <bottom style="thin">
        <color rgb="00E5E7EB"/>
      </bottom>
      <diagonal/>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0" fontId="3" fillId="3" borderId="0" pivotButton="0" quotePrefix="0" xfId="0"/>
    <xf numFmtId="0" fontId="3" fillId="4" borderId="0" pivotButton="0" quotePrefix="0" xfId="0"/>
    <xf numFmtId="0" fontId="3" fillId="5" borderId="0" pivotButton="0" quotePrefix="0" xfId="0"/>
    <xf numFmtId="0" fontId="5" fillId="6" borderId="1" applyAlignment="1" pivotButton="0" quotePrefix="0" xfId="0">
      <alignment horizontal="center" vertical="center" wrapText="1"/>
    </xf>
    <xf numFmtId="0" fontId="5" fillId="7" borderId="0" applyAlignment="1" pivotButton="0" quotePrefix="0" xfId="0">
      <alignment horizontal="center" vertical="center" wrapText="1"/>
    </xf>
    <xf numFmtId="0" fontId="5" fillId="7" borderId="0" applyAlignment="1" pivotButton="0" quotePrefix="0" xfId="0">
      <alignment vertical="top" wrapText="1"/>
    </xf>
    <xf numFmtId="0" fontId="0" fillId="7" borderId="0" applyAlignment="1" pivotButton="0" quotePrefix="0" xfId="0">
      <alignment vertical="top"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6" fillId="2" borderId="1" applyAlignment="1" pivotButton="0" quotePrefix="0" xfId="0">
      <alignment vertical="top" wrapText="1"/>
    </xf>
    <xf numFmtId="0" fontId="7" fillId="4" borderId="1" applyAlignment="1" pivotButton="0" quotePrefix="0" xfId="0">
      <alignment horizontal="center" vertical="center" wrapText="1"/>
    </xf>
    <xf numFmtId="0" fontId="7" fillId="4" borderId="1" applyAlignment="1" pivotButton="0" quotePrefix="0" xfId="0">
      <alignment vertical="top" wrapText="1"/>
    </xf>
    <xf numFmtId="0" fontId="8" fillId="3" borderId="1" applyAlignment="1" pivotButton="0" quotePrefix="0" xfId="0">
      <alignment vertical="top" wrapText="1"/>
    </xf>
    <xf numFmtId="0" fontId="9" fillId="5" borderId="1" applyAlignment="1" pivotButton="0" quotePrefix="0" xfId="0">
      <alignment vertical="top" wrapText="1"/>
    </xf>
    <xf numFmtId="0" fontId="10" fillId="8" borderId="0" pivotButton="0" quotePrefix="0" xfId="0"/>
    <xf numFmtId="0" fontId="10" fillId="8" borderId="0" applyAlignment="1" pivotButton="0" quotePrefix="0" xfId="0">
      <alignment vertical="top" wrapText="1"/>
    </xf>
    <xf numFmtId="0" fontId="5" fillId="7" borderId="0" pivotButton="0" quotePrefix="0" xfId="0"/>
    <xf numFmtId="0" fontId="11" fillId="0" borderId="0" pivotButton="0" quotePrefix="0" xfId="0"/>
    <xf numFmtId="0" fontId="12" fillId="6" borderId="0" pivotButton="0" quotePrefix="0" xfId="0"/>
    <xf numFmtId="0" fontId="0" fillId="2" borderId="1" pivotButton="0" quotePrefix="0" xfId="0"/>
    <xf numFmtId="0" fontId="0" fillId="0" borderId="4" pivotButton="0" quotePrefix="0" xfId="0"/>
    <xf numFmtId="0" fontId="0" fillId="0" borderId="5" pivotButton="0" quotePrefix="0" xfId="0"/>
    <xf numFmtId="0" fontId="4"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13" fillId="8" borderId="1" pivotButton="0" quotePrefix="0" xfId="0"/>
    <xf numFmtId="0" fontId="0" fillId="8" borderId="1" pivotButton="0" quotePrefix="0" xfId="0"/>
    <xf numFmtId="0" fontId="14"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A365C"/>
    <outlinePr summaryBelow="1" summaryRight="1"/>
    <pageSetUpPr/>
  </sheetPr>
  <dimension ref="A1:F18"/>
  <sheetViews>
    <sheetView workbookViewId="0">
      <selection activeCell="A1" sqref="A1"/>
    </sheetView>
  </sheetViews>
  <sheetFormatPr baseColWidth="8" defaultRowHeight="15"/>
  <cols>
    <col width="25" customWidth="1" min="1" max="1"/>
    <col width="60" customWidth="1" min="2" max="2"/>
    <col width="45" customWidth="1" min="3" max="3"/>
  </cols>
  <sheetData>
    <row r="1" ht="40" customHeight="1">
      <c r="A1" s="1" t="inlineStr">
        <is>
          <t>PetaSight — RFP Template Workbook</t>
        </is>
      </c>
    </row>
    <row r="3">
      <c r="A3" s="2" t="inlineStr">
        <is>
          <t>HOW TO USE THIS WORKBOOK</t>
        </is>
      </c>
    </row>
    <row r="5">
      <c r="A5" s="3" t="inlineStr">
        <is>
          <t>Color Legend:</t>
        </is>
      </c>
      <c r="B5" s="4" t="inlineStr"/>
      <c r="C5" s="4" t="inlineStr"/>
    </row>
    <row r="6">
      <c r="A6" s="5" t="inlineStr">
        <is>
          <t>Orange background</t>
        </is>
      </c>
      <c r="B6" s="4">
        <f> Free-text placeholder field. Replace with your content.</f>
        <v/>
      </c>
      <c r="C6" s="4" t="inlineStr"/>
    </row>
    <row r="7">
      <c r="A7" s="6" t="inlineStr">
        <is>
          <t>Green background</t>
        </is>
      </c>
      <c r="B7" s="4">
        <f> Enum / dropdown field. Select from provided options.</f>
        <v/>
      </c>
      <c r="C7" s="4" t="inlineStr"/>
    </row>
    <row r="8">
      <c r="A8" s="7" t="inlineStr">
        <is>
          <t>Purple background</t>
        </is>
      </c>
      <c r="B8" s="4">
        <f> Example excerpt from real RFPs. Delete from final version.</f>
        <v/>
      </c>
      <c r="C8" s="4" t="inlineStr"/>
    </row>
    <row r="9">
      <c r="A9" s="8" t="inlineStr">
        <is>
          <t>Blue background</t>
        </is>
      </c>
      <c r="B9" s="4">
        <f> Instructions / guidance. Delete from final version.</f>
        <v/>
      </c>
      <c r="C9" s="4" t="inlineStr"/>
    </row>
    <row r="10">
      <c r="A10" s="4" t="inlineStr"/>
      <c r="B10" s="4" t="inlineStr"/>
      <c r="C10" s="4" t="inlineStr"/>
    </row>
    <row r="11">
      <c r="A11" s="3" t="inlineStr">
        <is>
          <t>Tabs Overview:</t>
        </is>
      </c>
      <c r="B11" s="4" t="inlineStr"/>
      <c r="C11" s="4" t="inlineStr"/>
    </row>
    <row r="12">
      <c r="A12" s="4" t="inlineStr">
        <is>
          <t>RFP Overview</t>
        </is>
      </c>
      <c r="B12" s="4" t="inlineStr">
        <is>
          <t>Core Q&amp;A format RFP (like RFP-A3 EU Supplier format)</t>
        </is>
      </c>
      <c r="C12" s="4" t="inlineStr">
        <is>
          <t>For RFPs structured as question/answer pairs</t>
        </is>
      </c>
    </row>
    <row r="13">
      <c r="A13" s="4" t="inlineStr">
        <is>
          <t>Cost Breakdown</t>
        </is>
      </c>
      <c r="B13" s="4" t="inlineStr">
        <is>
          <t>Itemized cost template by project phase (like RFP-A4)</t>
        </is>
      </c>
      <c r="C13" s="4" t="inlineStr">
        <is>
          <t>For vendor pricing responses</t>
        </is>
      </c>
    </row>
    <row r="14">
      <c r="A14" s="4" t="inlineStr">
        <is>
          <t>Markets &amp; Sample</t>
        </is>
      </c>
      <c r="B14" s="4" t="inlineStr">
        <is>
          <t>Country-level scope, sample sizes, and modalities</t>
        </is>
      </c>
      <c r="C14" s="4" t="inlineStr">
        <is>
          <t>For multi-country studies</t>
        </is>
      </c>
    </row>
    <row r="15">
      <c r="A15" s="4" t="inlineStr">
        <is>
          <t>Vendor Capabilities</t>
        </is>
      </c>
      <c r="B15" s="4" t="inlineStr">
        <is>
          <t>Firm details, capabilities assessment (like RFP-A4)</t>
        </is>
      </c>
      <c r="C15" s="4" t="inlineStr">
        <is>
          <t>For vendor qualification / RFI</t>
        </is>
      </c>
    </row>
    <row r="16">
      <c r="A16" s="4" t="inlineStr">
        <is>
          <t>Sample Projects</t>
        </is>
      </c>
      <c r="B16" s="4" t="inlineStr">
        <is>
          <t>Pricing scenarios for test project types (like RFP-A4)</t>
        </is>
      </c>
      <c r="C16" s="4" t="inlineStr">
        <is>
          <t>For benchmarking vendor costs</t>
        </is>
      </c>
    </row>
    <row r="17">
      <c r="A17" s="4" t="inlineStr">
        <is>
          <t>Timeline &amp; Milestones</t>
        </is>
      </c>
      <c r="B17" s="4" t="inlineStr">
        <is>
          <t>Gantt-style project timeline</t>
        </is>
      </c>
      <c r="C17" s="4" t="inlineStr">
        <is>
          <t>For project planning</t>
        </is>
      </c>
    </row>
    <row r="18">
      <c r="A18" s="4" t="inlineStr">
        <is>
          <t>Evaluation Scorecard</t>
        </is>
      </c>
      <c r="B18" s="4" t="inlineStr">
        <is>
          <t>Weighted scoring matrix for vendor evaluation</t>
        </is>
      </c>
      <c r="C18" s="4" t="inlineStr">
        <is>
          <t>For internal use during vendor selection</t>
        </is>
      </c>
    </row>
  </sheetData>
  <mergeCells count="2">
    <mergeCell ref="A3:F3"/>
    <mergeCell ref="A1:F1"/>
  </mergeCells>
  <pageMargins left="0.75" right="0.75" top="1" bottom="1" header="0.5" footer="0.5"/>
</worksheet>
</file>

<file path=xl/worksheets/sheet2.xml><?xml version="1.0" encoding="utf-8"?>
<worksheet xmlns="http://schemas.openxmlformats.org/spreadsheetml/2006/main">
  <sheetPr>
    <tabColor rgb="004F73CD"/>
    <outlinePr summaryBelow="1" summaryRight="1"/>
    <pageSetUpPr/>
  </sheetPr>
  <dimension ref="A1:C84"/>
  <sheetViews>
    <sheetView workbookViewId="0">
      <selection activeCell="A1" sqref="A1"/>
    </sheetView>
  </sheetViews>
  <sheetFormatPr baseColWidth="8" defaultRowHeight="15"/>
  <cols>
    <col width="8" customWidth="1" min="1" max="1"/>
    <col width="70" customWidth="1" min="2" max="2"/>
    <col width="60" customWidth="1" min="3" max="3"/>
  </cols>
  <sheetData>
    <row r="1">
      <c r="A1" s="9" t="inlineStr">
        <is>
          <t>Section</t>
        </is>
      </c>
      <c r="B1" s="9" t="inlineStr">
        <is>
          <t>Question / Field</t>
        </is>
      </c>
      <c r="C1" s="9" t="inlineStr">
        <is>
          <t>Answer / Response</t>
        </is>
      </c>
    </row>
    <row r="2">
      <c r="A2" s="10" t="inlineStr">
        <is>
          <t>1</t>
        </is>
      </c>
      <c r="B2" s="11" t="inlineStr">
        <is>
          <t>1. INTRODUCTION</t>
        </is>
      </c>
      <c r="C2" s="12" t="inlineStr"/>
    </row>
    <row r="3">
      <c r="A3" s="13" t="inlineStr">
        <is>
          <t>1.1</t>
        </is>
      </c>
      <c r="B3" s="14" t="inlineStr">
        <is>
          <t>About Your Organization:</t>
        </is>
      </c>
      <c r="C3" s="15" t="inlineStr">
        <is>
          <t>Revised September 24, [YEAR]</t>
        </is>
      </c>
    </row>
    <row r="4">
      <c r="A4" s="13" t="inlineStr">
        <is>
          <t>1.2</t>
        </is>
      </c>
      <c r="B4" s="14" t="inlineStr">
        <is>
          <t>RFP General Scope:</t>
        </is>
      </c>
      <c r="C4" s="15" t="inlineStr">
        <is>
          <t>Example: Brief description of research being procured</t>
        </is>
      </c>
    </row>
    <row r="5">
      <c r="A5" s="13" t="inlineStr"/>
      <c r="B5" s="14" t="inlineStr"/>
      <c r="C5" s="14" t="inlineStr"/>
    </row>
    <row r="6">
      <c r="A6" s="16" t="inlineStr"/>
      <c r="B6" s="17" t="inlineStr">
        <is>
          <t>EXAMPLE: "[CLIENT_ORG] is issuing this request to selected potential participants for the provision of qualitative and quantitative primary market research services."</t>
        </is>
      </c>
      <c r="C6" s="17" t="inlineStr"/>
    </row>
    <row r="7">
      <c r="A7" s="13" t="inlineStr"/>
      <c r="B7" s="14" t="inlineStr"/>
      <c r="C7" s="14" t="inlineStr"/>
    </row>
    <row r="8">
      <c r="A8" s="13" t="inlineStr">
        <is>
          <t>1.3</t>
        </is>
      </c>
      <c r="B8" s="14" t="inlineStr">
        <is>
          <t>Project Timeline:</t>
        </is>
      </c>
      <c r="C8" s="14" t="inlineStr"/>
    </row>
    <row r="9">
      <c r="A9" s="13" t="inlineStr"/>
      <c r="B9" s="14" t="inlineStr">
        <is>
          <t>RFP Release Date:</t>
        </is>
      </c>
      <c r="C9" s="15" t="inlineStr">
        <is>
          <t>Kick off meeting in 2nd week of [DATE]
Preference for quarterly reporting, but open to vendor recommendations regarding feasibility of frequently of reporting
Include timeline</t>
        </is>
      </c>
    </row>
    <row r="10">
      <c r="A10" s="13" t="inlineStr"/>
      <c r="B10" s="14" t="inlineStr">
        <is>
          <t>Deadline for Questions:</t>
        </is>
      </c>
      <c r="C10" s="15" t="inlineStr">
        <is>
          <t>Kick off meeting in 2nd week of [DATE]
Preference for quarterly reporting, but open to vendor recommendations regarding feasibility of frequently of reporting
Include timeline</t>
        </is>
      </c>
    </row>
    <row r="11">
      <c r="A11" s="13" t="inlineStr"/>
      <c r="B11" s="14" t="inlineStr">
        <is>
          <t>Responses to Questions Posted By:</t>
        </is>
      </c>
      <c r="C11" s="15" t="inlineStr">
        <is>
          <t>Kick off meeting in 2nd week of [DATE]
Preference for quarterly reporting, but open to vendor recommendations regarding feasibility of frequently of reporting
Include timeline</t>
        </is>
      </c>
    </row>
    <row r="12">
      <c r="A12" s="13" t="inlineStr"/>
      <c r="B12" s="14" t="inlineStr">
        <is>
          <t>RFP Responses Due:</t>
        </is>
      </c>
      <c r="C12" s="15" t="inlineStr">
        <is>
          <t>Kick off meeting in 2nd week of [DATE]
Preference for quarterly reporting, but open to vendor recommendations regarding feasibility of frequently of reporting
Include timeline</t>
        </is>
      </c>
    </row>
    <row r="13">
      <c r="A13" s="13" t="inlineStr"/>
      <c r="B13" s="14" t="inlineStr">
        <is>
          <t>Clarifying Questions (if needed):</t>
        </is>
      </c>
      <c r="C13" s="15" t="inlineStr">
        <is>
          <t>Kick off meeting in 2nd week of [DATE]
Preference for quarterly reporting, but open to vendor recommendations regarding feasibility of frequently of reporting
Include timeline</t>
        </is>
      </c>
    </row>
    <row r="14">
      <c r="A14" s="13" t="inlineStr"/>
      <c r="B14" s="14" t="inlineStr">
        <is>
          <t>Clarifying Responses Due:</t>
        </is>
      </c>
      <c r="C14" s="15" t="inlineStr">
        <is>
          <t>Kick off meeting in 2nd week of [DATE]
Preference for quarterly reporting, but open to vendor recommendations regarding feasibility of frequently of reporting
Include timeline</t>
        </is>
      </c>
    </row>
    <row r="15">
      <c r="A15" s="13" t="inlineStr"/>
      <c r="B15" s="14" t="inlineStr">
        <is>
          <t>Communication Regarding Next Steps:</t>
        </is>
      </c>
      <c r="C15" s="15" t="inlineStr">
        <is>
          <t>Kick off meeting in 2nd week of [DATE]
Preference for quarterly reporting, but open to vendor recommendations regarding feasibility of frequently of reporting
Include timeline</t>
        </is>
      </c>
    </row>
    <row r="16">
      <c r="A16" s="13" t="inlineStr"/>
      <c r="B16" s="14" t="inlineStr">
        <is>
          <t>Anticipated Award Date:</t>
        </is>
      </c>
      <c r="C16" s="15" t="inlineStr">
        <is>
          <t>Kick off meeting in 2nd week of [DATE]
Preference for quarterly reporting, but open to vendor recommendations regarding feasibility of frequently of reporting
Include timeline</t>
        </is>
      </c>
    </row>
    <row r="17">
      <c r="A17" s="13" t="inlineStr"/>
      <c r="B17" s="14" t="inlineStr">
        <is>
          <t>Please confirm adherence to timeline:</t>
        </is>
      </c>
      <c r="C17" s="18" t="inlineStr">
        <is>
          <t>Yes | No</t>
        </is>
      </c>
    </row>
    <row r="18">
      <c r="A18" s="13" t="inlineStr"/>
      <c r="B18" s="14" t="inlineStr"/>
      <c r="C18" s="14" t="inlineStr"/>
    </row>
    <row r="19">
      <c r="A19" s="13" t="inlineStr">
        <is>
          <t>1.4</t>
        </is>
      </c>
      <c r="B19" s="14" t="inlineStr">
        <is>
          <t>Primary Contact Information:</t>
        </is>
      </c>
      <c r="C19" s="14" t="inlineStr"/>
    </row>
    <row r="20">
      <c r="A20" s="13" t="inlineStr"/>
      <c r="B20" s="14" t="inlineStr">
        <is>
          <t>Name:</t>
        </is>
      </c>
      <c r="C20" s="15" t="inlineStr">
        <is>
          <t>PROJECT NAME: [BRAND_A] Patient Chart Audit Study
PRODUCT NAME: [BRAND_A]
PROJECT MANAGER: Melinda Robertson</t>
        </is>
      </c>
    </row>
    <row r="21">
      <c r="A21" s="13" t="inlineStr"/>
      <c r="B21" s="14" t="inlineStr">
        <is>
          <t>Title:</t>
        </is>
      </c>
      <c r="C21" s="15" t="inlineStr">
        <is>
          <t>Example: TITLE</t>
        </is>
      </c>
    </row>
    <row r="22">
      <c r="A22" s="13" t="inlineStr"/>
      <c r="B22" s="14" t="inlineStr">
        <is>
          <t>Email:</t>
        </is>
      </c>
      <c r="C22" s="15" t="inlineStr">
        <is>
          <t>Example: EMAIL</t>
        </is>
      </c>
    </row>
    <row r="23">
      <c r="A23" s="13" t="inlineStr"/>
      <c r="B23" s="14" t="inlineStr">
        <is>
          <t>Phone:</t>
        </is>
      </c>
      <c r="C23" s="15" t="inlineStr">
        <is>
          <t>In the 2nd half of [YEAR] [CLIENT_ORG] launched [BRAND_A] (IV) for adults with moderate to severe rheumatoid arthritis taken with methotrexate. Since launch approximately 2/3 of rheumatologists have t</t>
        </is>
      </c>
    </row>
    <row r="24">
      <c r="A24" s="13" t="inlineStr"/>
      <c r="B24" s="14" t="inlineStr"/>
      <c r="C24" s="14" t="inlineStr"/>
    </row>
    <row r="25">
      <c r="A25" s="13" t="inlineStr">
        <is>
          <t>1.5</t>
        </is>
      </c>
      <c r="B25" s="14" t="inlineStr">
        <is>
          <t>Evaluation Criteria Overview:</t>
        </is>
      </c>
      <c r="C25" s="15" t="inlineStr">
        <is>
          <t>Example: How proposals will be evaluated</t>
        </is>
      </c>
    </row>
    <row r="26">
      <c r="A26" s="13" t="inlineStr"/>
      <c r="B26" s="14" t="inlineStr"/>
      <c r="C26" s="14" t="inlineStr"/>
    </row>
    <row r="27">
      <c r="A27" s="16" t="inlineStr"/>
      <c r="B27" s="17" t="inlineStr">
        <is>
          <t>EXAMPLE: "1) Assurance of Supply: supplier size, financial stability, track record. 2) Quality of Service: methodology, innovation, relevant experience. 3) Total Cost of Ownership."</t>
        </is>
      </c>
      <c r="C27" s="17" t="inlineStr"/>
    </row>
    <row r="28">
      <c r="A28" s="13" t="inlineStr"/>
      <c r="B28" s="14" t="inlineStr"/>
      <c r="C28" s="14" t="inlineStr"/>
    </row>
    <row r="29">
      <c r="A29" s="10" t="inlineStr">
        <is>
          <t>2</t>
        </is>
      </c>
      <c r="B29" s="11" t="inlineStr">
        <is>
          <t>2. PROJECT BACKGROUND &amp; CONTEXT</t>
        </is>
      </c>
      <c r="C29" s="12" t="inlineStr"/>
    </row>
    <row r="30">
      <c r="A30" s="13" t="inlineStr">
        <is>
          <t>2.1</t>
        </is>
      </c>
      <c r="B30" s="14" t="inlineStr">
        <is>
          <t>Therapeutic Area / Category:</t>
        </is>
      </c>
      <c r="C30" s="18" t="inlineStr">
        <is>
          <t>Oncology | Immunology | CV | Diabetes | Neuro | Respiratory | Derm | Rare Disease | Vaccines | Consumer HC | Animal Health | MedDev | Other</t>
        </is>
      </c>
    </row>
    <row r="31">
      <c r="A31" s="13" t="inlineStr">
        <is>
          <t>2.2</t>
        </is>
      </c>
      <c r="B31" s="14" t="inlineStr">
        <is>
          <t>Product Lifecycle Stage:</t>
        </is>
      </c>
      <c r="C31" s="18" t="inlineStr">
        <is>
          <t>Pre-launch | Launch | Year 1-2 | Growth | LOE | Portfolio</t>
        </is>
      </c>
    </row>
    <row r="32">
      <c r="A32" s="13" t="inlineStr">
        <is>
          <t>2.3</t>
        </is>
      </c>
      <c r="B32" s="14" t="inlineStr">
        <is>
          <t>Brand / Product Name(s):</t>
        </is>
      </c>
      <c r="C32" s="15" t="inlineStr">
        <is>
          <t>PROJECT NAME: [BRAND_A] Patient Chart Audit Study
PRODUCT NAME: [BRAND_A]
PROJECT MANAGER: Melinda Robertson</t>
        </is>
      </c>
    </row>
    <row r="33">
      <c r="A33" s="13" t="inlineStr">
        <is>
          <t>2.4</t>
        </is>
      </c>
      <c r="B33" s="14" t="inlineStr">
        <is>
          <t>Background Description:</t>
        </is>
      </c>
      <c r="C33" s="15" t="inlineStr">
        <is>
          <t>The biologic market to treat Rheumatoid Arthritis is very crowded and competitive. There are two traditional ways that biologic medications are delivered: (Self-Administered) Sub-Q injection, and (Healthcare Professional Administered) Infusion. The market is currently dominated by [BRAND] (sub-Q), [BRAND] (sub-Q) and [BRAND] (IV).
In the 2nd half of [YEAR] [CLIENT_ORG] launched [BRAND_A] (IV) for adults with moderate to severe rheumatoid arthritis taken with methotrexate. Since launch approximately 2/3 of rheumatologists have tried [BRAND_A] on at least one patient. [CLIENT_ORG] is looking to continue to grow product usage of [BRAND_A] in [YEAR]/[YEAR], notably among IV loyalists (where [BRAND] has thrived), as well as develop its own base of loyalists among the RHEUMs of the future.</t>
        </is>
      </c>
    </row>
    <row r="34">
      <c r="A34" s="13" t="inlineStr"/>
      <c r="B34" s="14" t="inlineStr"/>
      <c r="C34" s="14" t="inlineStr"/>
    </row>
    <row r="35">
      <c r="A35" s="16" t="inlineStr"/>
      <c r="B35" s="17" t="inlineStr">
        <is>
          <t>EXAMPLE: "In [DATE], Zephora launched [BRAND_A] for control of pruritus associated with allergic dermatitis. Demand far exceeded supply; product was only available under controlled distribution. We need to understand purchasing behavior without supply constraints."</t>
        </is>
      </c>
      <c r="C35" s="17" t="inlineStr"/>
    </row>
    <row r="36">
      <c r="A36" s="13" t="inlineStr"/>
      <c r="B36" s="14" t="inlineStr"/>
      <c r="C36" s="14" t="inlineStr"/>
    </row>
    <row r="37">
      <c r="A37" s="10" t="inlineStr">
        <is>
          <t>3</t>
        </is>
      </c>
      <c r="B37" s="11" t="inlineStr">
        <is>
          <t>3. BUSINESS &amp; RESEARCH OBJECTIVES</t>
        </is>
      </c>
      <c r="C37" s="12" t="inlineStr"/>
    </row>
    <row r="38">
      <c r="A38" s="13" t="inlineStr">
        <is>
          <t>3.1</t>
        </is>
      </c>
      <c r="B38" s="14" t="inlineStr">
        <is>
          <t>Primary Business Objective:</t>
        </is>
      </c>
      <c r="C38" s="15" t="inlineStr">
        <is>
          <t>The [BRAND_A] team is interested in gaining real-world understanding of why, when, and how patients are treated with biologics. Physicians’ real-world practices with regard to what agents they use, in what patient situations, and the reasons why (especially reasons for why using [BRAND] instead of [BRAND_A]) are challenging to pin down using other qualitative and/or quantitative research that is not based on de-identified individual patient treatment information. Thus, it has been recommended that to achieve the specific objectives below, [CLIENT_ORG] needs to have research conducted that is based on patient charts and/or patient healthcare claims data.
PURPOSE:
To gain insight into the real-world reasons behind HCPs’ treatment with [BRAND_A] and competitors in aspirational and typical patient types (with regard to line of treatment, disease severity, type of insurance). [CLIENT_ORG] will use this knowledge to evolve strategy and messaging.
(This research is being designed to answer the following objectives/questions)
How long have patients been diagnosed with RA before a biologic is considered?
Are there specific common symptoms that lead the RHEUM to consider a biologic?
How does the RHEUM become aware of these precipitating symptoms? Verbalized by patient? Identified by RHEUM through clinical examination or testing?
At what point in the patient’s treatment journey (1st, 2nd, 3rd line) is [BRAND_A] considered as a biologic option?
How does this vary by patient type, e.g., disease severity, specific symptoms, other?
How does this vary by account segment, user type (higher vs. lower) and/or physician segment type?</t>
        </is>
      </c>
    </row>
    <row r="39">
      <c r="A39" s="13" t="inlineStr">
        <is>
          <t>3.2</t>
        </is>
      </c>
      <c r="B39" s="14" t="inlineStr">
        <is>
          <t>Research Objectives (list all):</t>
        </is>
      </c>
      <c r="C39" s="15" t="inlineStr">
        <is>
          <t>The [BRAND_A] team is interested in gaining real-world understanding of why, when, and how patients are treated with biologics. Physicians’ real-world practices with regard to what agents they use, in what patient situations, and the reasons why (especially reasons for why using [BRAND] instead of [BRAND_A]) are challenging to pin down using other qualitative and/or quantitative research that is not based on de-identified individual patient treatment information. Thus, it has been recommended that to achieve the specific objectives below, [CLIENT_ORG] needs to have research conducted that is based on patient charts and/or patient healthcare claims data.
PURPOSE:
To gain insight into the real-world reasons behind HCPs’ treatment with [BRAND_A] and competitors in aspirational and typical patient types (with regard to line of treatment, disease severity, type of insurance). [CLIENT_ORG] will use this knowledge to evolve strategy and messaging.
(This research is being designed to answer the following objectives/questions)
How long have patients been diagnosed with RA before a biologic is considered?
Are there specific common symptoms that lead the RHEUM to consider a biologic?
How does the RHEUM become aware of these precipitating symptoms? Verbalized by patient? Identified by RHEUM through clinical examination or testing?
At what point in the patient’s treatment journey (1st, 2nd, 3rd line) is [BRAND_A] considered as a biologic option?
How does this vary by patient type, e.g., disease severity, specific symptoms, other?
How does this vary by account segment, user type (higher vs. lower) and/or physician segment type?</t>
        </is>
      </c>
    </row>
    <row r="40">
      <c r="A40" s="13" t="inlineStr"/>
      <c r="B40" s="14" t="inlineStr"/>
      <c r="C40" s="14" t="inlineStr"/>
    </row>
    <row r="41">
      <c r="A41" s="16" t="inlineStr"/>
      <c r="B41" s="17" t="inlineStr">
        <is>
          <t>EXAMPLE: "1. Understand order amounts &amp; reorder rate (test vs control)
2. Conduct diary study to understand usage
3. Analyze retail sales information
4. Understand purchases, usage and sales at clinic level"</t>
        </is>
      </c>
      <c r="C41" s="17" t="inlineStr"/>
    </row>
    <row r="42">
      <c r="A42" s="13" t="inlineStr"/>
      <c r="B42" s="14" t="inlineStr"/>
      <c r="C42" s="14" t="inlineStr"/>
    </row>
    <row r="43">
      <c r="A43" s="10" t="inlineStr">
        <is>
          <t>4</t>
        </is>
      </c>
      <c r="B43" s="11" t="inlineStr">
        <is>
          <t>4. METHODOLOGY &amp; SCOPE</t>
        </is>
      </c>
      <c r="C43" s="12" t="inlineStr"/>
    </row>
    <row r="44">
      <c r="A44" s="13" t="inlineStr">
        <is>
          <t>4.1</t>
        </is>
      </c>
      <c r="B44" s="14" t="inlineStr">
        <is>
          <t>Primary Methodology:</t>
        </is>
      </c>
      <c r="C44" s="18" t="inlineStr">
        <is>
          <t>(This research is being designed to answer the following objectives/questions)
How long have patients been diagnosed with RA before a biologic is considered?
Are there specific common symptoms that lead the RHEUM to consider a biologic?
How does the RHEUM become aware of these precipitating symptoms? Verbalized by patient? Identified by RHEUM through clinical examination or testing?
At what point in the patient’s treatment journey (1st, 2nd, 3rd line) is [BRAND_A] considered as a biologic option?
How does this vary by patient type, e.g., disease severity, specific symptoms, other?
How does this vary by account segment, user type (higher vs. lower) and/or physician segment type?
What are the key reasons why RHEUMs choose [BRAND_A] over competitors and vice-versa?
How does this vary by patient type, e.g., disease severity, specific symptoms, other?
How does this vary by account segment, user type (higher vs. lower) and/or physician segment type
Identify leverage points that could be utilized in brand strategy and/or messaging to further the goal of [BRAND_A] as the first choice IV anti-TNF treatment instead of [BRAND]
Characterize patient adherence and persistence on [BRAND_A] and compare to competitors
Calculate adherence and persistence
Reasons for discontinuation
If switched, what is product switched to?</t>
        </is>
      </c>
    </row>
    <row r="45">
      <c r="A45" s="13" t="inlineStr">
        <is>
          <t>4.2</t>
        </is>
      </c>
      <c r="B45" s="14" t="inlineStr">
        <is>
          <t>Methodology Description:</t>
        </is>
      </c>
      <c r="C45" s="15" t="inlineStr">
        <is>
          <t>(This research is being designed to answer the following objectives/questions)
How long have patients been diagnosed with RA before a biologic is considered?
Are there specific common symptoms that lead the RHEUM to consider a biologic?
How does the RHEUM become aware of these precipitating symptoms? Verbalized by patient? Identified by RHEUM through clinical examination or testing?
At what point in the patient’s treatment journey (1st, 2nd, 3rd line) is [BRAND_A] considered as a biologic option?
How does this vary by patient type, e.g., disease severity, specific symptoms, other?
How does this vary by account segment, user type (higher vs. lower) and/or physician segment type?
What are the key reasons why RHEUMs choose [BRAND_A] over competitors and vice-versa?
How does this vary by patient type, e.g., disease severity, specific symptoms, other?
How does this vary by account segment, user type (higher vs. lower) and/or physician segment type
Identify leverage points that could be utilized in brand strategy and/or messaging to further the goal of [BRAND_A] as the first choice IV anti-TNF treatment instead of [BRAND]
Characterize patient adherence and persistence on [BRAND_A] and compare to competitors
Calculate adherence and persistence
Reasons for discontinuation
If switched, what is product switched to?</t>
        </is>
      </c>
    </row>
    <row r="46">
      <c r="A46" s="13" t="inlineStr">
        <is>
          <t>4.3</t>
        </is>
      </c>
      <c r="B46" s="14" t="inlineStr">
        <is>
          <t>Number of Research Stages:</t>
        </is>
      </c>
      <c r="C46" s="18" t="inlineStr">
        <is>
          <t>1 | 2 | 3 | 4+</t>
        </is>
      </c>
    </row>
    <row r="47">
      <c r="A47" s="13" t="inlineStr">
        <is>
          <t>4.4</t>
        </is>
      </c>
      <c r="B47" s="14" t="inlineStr">
        <is>
          <t>Stage Details (if multi-stage):</t>
        </is>
      </c>
      <c r="C47" s="15" t="inlineStr">
        <is>
          <t>(This research is being designed to answer the following objectives/questions)
How long have patients been diagnosed with RA before a biologic is considered?
Are there specific common symptoms that lead the RHEUM to consider a biologic?
How does the RHEUM become aware of these precipitating symptoms? Verbalized by patient? Identified by RHEUM through clinical examination or testing?
At what point in the patient’s treatment journey (1st, 2nd, 3rd line) is [BRAND_A] considered as a biologic option?
How does this vary by patient type, e.g., disease severity, specific symptoms, other?
How does this vary by account segment, user type (higher vs. lower) and/or physician segment type?
What are the key reasons why RHEUMs choose [BRAND_A] over competitors and vice-versa?
How does this vary by patient type, e.g., disease severity, specific symptoms, other?
How does this vary by account segment, user type (higher vs. lower) and/or physician segment type
Identify leverage points that could be utilized in brand strategy and/or messaging to further the goal of [BRAND_A] as the first choice IV anti-TNF treatment instead of [BRAND]
Characterize patient adherence and persistence on [BRAND_A] and compare to competitors
Calculate adherence and persistence
Reasons for discontinuation
If switched, what is product switched to?</t>
        </is>
      </c>
    </row>
    <row r="48">
      <c r="A48" s="13" t="inlineStr"/>
      <c r="B48" s="14" t="inlineStr"/>
      <c r="C48" s="14" t="inlineStr"/>
    </row>
    <row r="49">
      <c r="A49" s="10" t="inlineStr">
        <is>
          <t>5</t>
        </is>
      </c>
      <c r="B49" s="11" t="inlineStr">
        <is>
          <t>5. MARKETS &amp; GEOGRAPHY</t>
        </is>
      </c>
      <c r="C49" s="12" t="inlineStr"/>
    </row>
    <row r="50">
      <c r="A50" s="13" t="inlineStr">
        <is>
          <t>5.1</t>
        </is>
      </c>
      <c r="B50" s="14" t="inlineStr">
        <is>
          <t>Geographic Scope:</t>
        </is>
      </c>
      <c r="C50" s="18" t="inlineStr">
        <is>
          <t>The biologic market to treat Rheumatoid Arthritis is very crowded and competitive. There are two traditional ways that biologic medications are delivered: (Self-Administered) Sub-Q injection, and (Healthcare Professional Administered) Infusion. The market is currently dominated by [BRAND] (sub-Q), [BRAND] (sub-Q) and [BRAND] (IV).
In the 2nd half of [YEAR] [CLIENT_ORG] launched [BRAND_A] (IV) for adults with moderate to severe rheumatoid arthritis taken with methotrexate. Since launch approximately 2/3 of rheumatologists have tried [BRAND_A] on at least one patient. [CLIENT_ORG] is looking to continue to grow product usage of [BRAND_A] in [YEAR]/[YEAR], notably among IV loyalists (where [BRAND] has thrived), as well as develop its own base of loyalists among the RHEUMs of the future.
The [</t>
        </is>
      </c>
    </row>
    <row r="51">
      <c r="A51" s="13" t="inlineStr">
        <is>
          <t>5.2</t>
        </is>
      </c>
      <c r="B51" s="14" t="inlineStr">
        <is>
          <t>Target Markets:</t>
        </is>
      </c>
      <c r="C51" s="15" t="inlineStr">
        <is>
          <t>Rheumatologist to be recruited using [CLIENT_ORG] target list
Recruit from all 4 [CLIENT_ORG] Account Segments (enough to be able to conduct analysis among all 4 groups)
PROPOSALS SHOULD ALSO INCLUDE VENDOR RECOMMENDATIONS REGARDING:
Data source and mode of collection [i.e. Paper, EMR (which EMR), claims data base (which claims data base)]
If conducted as chart study using HCP participants, thoughts on maintaining RHEUMs for longitudinal analysis of patients
HCP and [BRAND_A] patient record sample sizes sufficient for analysis by [CLIENT_ORG]’s account segments
If conducted as chart study, process for recruiting RHEUMs
Opt-in for qualitative RHEUM follow-up</t>
        </is>
      </c>
    </row>
    <row r="52">
      <c r="A52" s="13" t="inlineStr">
        <is>
          <t>5.3</t>
        </is>
      </c>
      <c r="B52" s="14" t="inlineStr">
        <is>
          <t>Core vs. Local Elements:</t>
        </is>
      </c>
      <c r="C52" s="15" t="inlineStr">
        <is>
          <t>Example: % core / % local flexibility — e.g., '80% core, 20% local'</t>
        </is>
      </c>
    </row>
    <row r="53">
      <c r="A53" s="13" t="inlineStr"/>
      <c r="B53" s="14" t="inlineStr"/>
      <c r="C53" s="14" t="inlineStr"/>
    </row>
    <row r="54">
      <c r="A54" s="16" t="inlineStr"/>
      <c r="B54" s="17" t="inlineStr">
        <is>
          <t>EXAMPLE: "Europe: UK, Germany, France, Italy, Poland, Sweden, Netherlands | Russia | Japan | Korea. Core elements must be addressed in all countries (~80%); local elements (~20%) per country."</t>
        </is>
      </c>
      <c r="C54" s="17" t="inlineStr"/>
    </row>
    <row r="55">
      <c r="A55" s="13" t="inlineStr"/>
      <c r="B55" s="14" t="inlineStr"/>
      <c r="C55" s="14" t="inlineStr"/>
    </row>
    <row r="56">
      <c r="A56" s="10" t="inlineStr">
        <is>
          <t>6</t>
        </is>
      </c>
      <c r="B56" s="11" t="inlineStr">
        <is>
          <t>6. TARGET AUDIENCE &amp; SAMPLE</t>
        </is>
      </c>
      <c r="C56" s="12" t="inlineStr"/>
    </row>
    <row r="57">
      <c r="A57" s="13" t="inlineStr">
        <is>
          <t>6.1</t>
        </is>
      </c>
      <c r="B57" s="14" t="inlineStr">
        <is>
          <t>Primary Audience:</t>
        </is>
      </c>
      <c r="C57" s="18" t="inlineStr">
        <is>
          <t>Physicians (Specialists)</t>
        </is>
      </c>
    </row>
    <row r="58">
      <c r="A58" s="13" t="inlineStr">
        <is>
          <t>6.2</t>
        </is>
      </c>
      <c r="B58" s="14" t="inlineStr">
        <is>
          <t>Total Sample Size:</t>
        </is>
      </c>
      <c r="C58" s="15" t="inlineStr">
        <is>
          <t>Example: N=XXX</t>
        </is>
      </c>
    </row>
    <row r="59">
      <c r="A59" s="13" t="inlineStr">
        <is>
          <t>6.3</t>
        </is>
      </c>
      <c r="B59" s="14" t="inlineStr">
        <is>
          <t>Audience Breakdown:</t>
        </is>
      </c>
      <c r="C59" s="15" t="inlineStr">
        <is>
          <t>Rheumatologist to be recruited using [CLIENT_ORG] target list
Recruit from all 4 [CLIENT_ORG] Account Segments (enough to be able to conduct analysis among all 4 groups)
PROPOSALS SHOULD ALSO INCLUDE VENDOR RECOMMENDATIONS REGARDING:
Data source and mode of collection [i.e. Paper, EMR (which EMR), claims data base (which claims data base)]
If conducted as chart study using HCP participants, thoughts on maintaining RHEUMs for longitudinal analysis of patients
HCP and [BRAND_A] patient record sample sizes sufficient for analysis by [CLIENT_ORG]’s account segments
If conducted as chart study, process for recruiting RHEUMs
Opt-in for qualitative RHEUM follow-up</t>
        </is>
      </c>
    </row>
    <row r="60">
      <c r="A60" s="13" t="inlineStr">
        <is>
          <t>6.4</t>
        </is>
      </c>
      <c r="B60" s="14" t="inlineStr">
        <is>
          <t>Recruitment Method:</t>
        </is>
      </c>
      <c r="C60" s="18" t="inlineStr">
        <is>
          <t>Online Panel | Client List | Free-Find | Referral | Mixed</t>
        </is>
      </c>
    </row>
    <row r="61">
      <c r="A61" s="13" t="inlineStr">
        <is>
          <t>6.5</t>
        </is>
      </c>
      <c r="B61" s="14" t="inlineStr">
        <is>
          <t>Screening Criteria:</t>
        </is>
      </c>
      <c r="C61" s="15" t="inlineStr">
        <is>
          <t>Example: Key inclusion/exclusion criteria</t>
        </is>
      </c>
    </row>
    <row r="62">
      <c r="A62" s="13" t="inlineStr"/>
      <c r="B62" s="14" t="inlineStr"/>
      <c r="C62" s="14" t="inlineStr"/>
    </row>
    <row r="63">
      <c r="A63" s="10" t="inlineStr">
        <is>
          <t>7</t>
        </is>
      </c>
      <c r="B63" s="11" t="inlineStr">
        <is>
          <t>7. DELIVERABLES</t>
        </is>
      </c>
      <c r="C63" s="12" t="inlineStr"/>
    </row>
    <row r="64">
      <c r="A64" s="13" t="inlineStr">
        <is>
          <t>7.1</t>
        </is>
      </c>
      <c r="B64" s="14" t="inlineStr">
        <is>
          <t>List All Required Deliverables:</t>
        </is>
      </c>
      <c r="C64" s="15" t="inlineStr">
        <is>
          <t>Preference for quarterly reporting, but open to vendor recommendations regarding feasibility of frequently of reporting</t>
        </is>
      </c>
    </row>
    <row r="65">
      <c r="A65" s="13" t="inlineStr">
        <is>
          <t>7.2</t>
        </is>
      </c>
      <c r="B65" s="14" t="inlineStr">
        <is>
          <t>Report Format:</t>
        </is>
      </c>
      <c r="C65" s="18" t="inlineStr">
        <is>
          <t>PowerPoint | Word | PDF | Dashboard | Multiple</t>
        </is>
      </c>
    </row>
    <row r="66">
      <c r="A66" s="13" t="inlineStr">
        <is>
          <t>7.3</t>
        </is>
      </c>
      <c r="B66" s="14" t="inlineStr">
        <is>
          <t>Presentation Required?:</t>
        </is>
      </c>
      <c r="C66" s="18" t="inlineStr">
        <is>
          <t>Yes — In Person | Yes — Virtual | No</t>
        </is>
      </c>
    </row>
    <row r="67">
      <c r="A67" s="13" t="inlineStr">
        <is>
          <t>7.4</t>
        </is>
      </c>
      <c r="B67" s="14" t="inlineStr">
        <is>
          <t>Presentation Location:</t>
        </is>
      </c>
      <c r="C67" s="15" t="inlineStr">
        <is>
          <t>Example: LOCATION if in-person</t>
        </is>
      </c>
    </row>
    <row r="68">
      <c r="A68" s="13" t="inlineStr">
        <is>
          <t>7.5</t>
        </is>
      </c>
      <c r="B68" s="14" t="inlineStr">
        <is>
          <t>Raw Data Required?:</t>
        </is>
      </c>
      <c r="C68" s="18" t="inlineStr">
        <is>
          <t>Yes (SPSS) | Yes (CSV) | Yes (Excel) | No</t>
        </is>
      </c>
    </row>
    <row r="69">
      <c r="A69" s="13" t="inlineStr">
        <is>
          <t>7.6</t>
        </is>
      </c>
      <c r="B69" s="14" t="inlineStr">
        <is>
          <t>Ongoing Support Required?:</t>
        </is>
      </c>
      <c r="C69" s="18" t="inlineStr">
        <is>
          <t>Yes — Monthly | Yes — Quarterly | Ad-hoc | No</t>
        </is>
      </c>
    </row>
    <row r="70">
      <c r="A70" s="13" t="inlineStr"/>
      <c r="B70" s="14" t="inlineStr"/>
      <c r="C70" s="14" t="inlineStr"/>
    </row>
    <row r="71">
      <c r="A71" s="10" t="inlineStr">
        <is>
          <t>8</t>
        </is>
      </c>
      <c r="B71" s="11" t="inlineStr">
        <is>
          <t>8. BUDGET &amp; COSTS</t>
        </is>
      </c>
      <c r="C71" s="12" t="inlineStr"/>
    </row>
    <row r="72">
      <c r="A72" s="13" t="inlineStr">
        <is>
          <t>8.1</t>
        </is>
      </c>
      <c r="B72" s="14" t="inlineStr">
        <is>
          <t>Budget Range:</t>
        </is>
      </c>
      <c r="C72" s="18" t="inlineStr">
        <is>
          <t>&lt;$50K | $50-100K | $100-250K | $250-500K | $500K-1M | $1M+ | Not Disclosed</t>
        </is>
      </c>
    </row>
    <row r="73">
      <c r="A73" s="13" t="inlineStr">
        <is>
          <t>8.2</t>
        </is>
      </c>
      <c r="B73" s="14" t="inlineStr">
        <is>
          <t>Currency:</t>
        </is>
      </c>
      <c r="C73" s="18" t="inlineStr">
        <is>
          <t>USD | EUR | GBP | CHF | JPY | Multi-currency</t>
        </is>
      </c>
    </row>
    <row r="74">
      <c r="A74" s="13" t="inlineStr">
        <is>
          <t>8.3</t>
        </is>
      </c>
      <c r="B74" s="14" t="inlineStr">
        <is>
          <t>Payment Terms:</t>
        </is>
      </c>
      <c r="C74" s="18" t="inlineStr">
        <is>
          <t>50</t>
        </is>
      </c>
    </row>
    <row r="75">
      <c r="A75" s="13" t="inlineStr">
        <is>
          <t>8.4</t>
        </is>
      </c>
      <c r="B75" s="14" t="inlineStr">
        <is>
          <t>Cost Breakdown Required?:</t>
        </is>
      </c>
      <c r="C75" s="18" t="inlineStr">
        <is>
          <t>Supplier-suggested methodology for data collection, i.e., paper or EMR study, claims analysis (note distinct advantages of proposed method)
Likely patient types: Bio-Naïve, 1st line, 2nd line, etc./Severity (Skew number of charts toward 1st line)
Rheumatologist to be recruited using [CLIENT_ORG] tar</t>
        </is>
      </c>
    </row>
    <row r="76">
      <c r="A76" s="13" t="inlineStr">
        <is>
          <t>8.5</t>
        </is>
      </c>
      <c r="B76" s="14" t="inlineStr">
        <is>
          <t>Receipt/Documentation Policy:</t>
        </is>
      </c>
      <c r="C76" s="15" t="inlineStr">
        <is>
          <t>Example: e.g., 'We retain the right to request receipts'</t>
        </is>
      </c>
    </row>
    <row r="77">
      <c r="A77" s="13" t="inlineStr"/>
      <c r="B77" s="14" t="inlineStr"/>
      <c r="C77" s="14" t="inlineStr"/>
    </row>
    <row r="78">
      <c r="A78" s="10" t="inlineStr">
        <is>
          <t>9</t>
        </is>
      </c>
      <c r="B78" s="11" t="inlineStr">
        <is>
          <t>9. COMPLIANCE &amp; POLICIES</t>
        </is>
      </c>
      <c r="C78" s="12" t="inlineStr"/>
    </row>
    <row r="79">
      <c r="A79" s="13" t="inlineStr">
        <is>
          <t>9.1</t>
        </is>
      </c>
      <c r="B79" s="14" t="inlineStr">
        <is>
          <t>Confidentiality Agreement Required?:</t>
        </is>
      </c>
      <c r="C79" s="18" t="inlineStr">
        <is>
          <t>Yes — NDA | Yes — MSA | No</t>
        </is>
      </c>
    </row>
    <row r="80">
      <c r="A80" s="13" t="inlineStr">
        <is>
          <t>9.2</t>
        </is>
      </c>
      <c r="B80" s="14" t="inlineStr">
        <is>
          <t>Industry Guidelines:</t>
        </is>
      </c>
      <c r="C80" s="18" t="inlineStr">
        <is>
          <t>CASRO | ESOMAR | BHBIA | EphMRA | Multiple | None specified</t>
        </is>
      </c>
    </row>
    <row r="81">
      <c r="A81" s="13" t="inlineStr">
        <is>
          <t>9.3</t>
        </is>
      </c>
      <c r="B81" s="14" t="inlineStr">
        <is>
          <t>Adverse Event Reporting:</t>
        </is>
      </c>
      <c r="C81" s="18" t="inlineStr">
        <is>
          <t>Required | Not applicable</t>
        </is>
      </c>
    </row>
    <row r="82">
      <c r="A82" s="13" t="inlineStr">
        <is>
          <t>9.4</t>
        </is>
      </c>
      <c r="B82" s="14" t="inlineStr">
        <is>
          <t>Data Privacy (GDPR):</t>
        </is>
      </c>
      <c r="C82" s="18" t="inlineStr">
        <is>
          <t>Required | Not applicable</t>
        </is>
      </c>
    </row>
    <row r="83">
      <c r="A83" s="13" t="inlineStr">
        <is>
          <t>9.5</t>
        </is>
      </c>
      <c r="B83" s="14" t="inlineStr">
        <is>
          <t>Regulatory Review of Materials:</t>
        </is>
      </c>
      <c r="C83" s="18" t="inlineStr">
        <is>
          <t>Required | Not required</t>
        </is>
      </c>
    </row>
    <row r="84">
      <c r="A84" s="13" t="inlineStr">
        <is>
          <t>9.6</t>
        </is>
      </c>
      <c r="B84" s="14" t="inlineStr">
        <is>
          <t>Subcontractor Disclosure:</t>
        </is>
      </c>
      <c r="C84" s="18" t="inlineStr">
        <is>
          <t>Required | Not required</t>
        </is>
      </c>
    </row>
  </sheetData>
  <dataValidations count="22">
    <dataValidation sqref="C17" showDropDown="0" showInputMessage="0" showErrorMessage="0" allowBlank="1" errorTitle="Invalid Selection" error="Please select from the dropdown" promptTitle="Selection Required" prompt="Select from dropdown" type="list">
      <formula1>"Yes,No"</formula1>
    </dataValidation>
    <dataValidation sqref="C30" showDropDown="0" showInputMessage="0" showErrorMessage="0" allowBlank="1" errorTitle="Invalid Selection" error="Please select from the dropdown" promptTitle="Selection Required" prompt="Select from dropdown" type="list">
      <formula1>"Oncology,Immunology,CV,Diabetes,Neuro,Respiratory,Derm,Rare Disease,Vaccines,Consumer HC,Animal Health,MedDev,Other"</formula1>
    </dataValidation>
    <dataValidation sqref="C31" showDropDown="0" showInputMessage="0" showErrorMessage="0" allowBlank="1" errorTitle="Invalid Selection" error="Please select from the dropdown" promptTitle="Selection Required" prompt="Select from dropdown" type="list">
      <formula1>"Pre-launch,Launch,Year 1-2,Growth,LOE,Portfolio"</formula1>
    </dataValidation>
    <dataValidation sqref="C44" showDropDown="0" showInputMessage="0" showErrorMessage="0" allowBlank="1" errorTitle="Invalid Selection" error="Please select from the dropdown" promptTitle="Selection Required" prompt="Select from dropdown" type="list">
      <formula1>"Quant (CAWI/CAPI/CATI),Qual (IDIs/FGs),Mixed,Chart Review,Conjoint/DCE,Tracking,Diary,Delphi,Advisory Board"</formula1>
    </dataValidation>
    <dataValidation sqref="C46" showDropDown="0" showInputMessage="0" showErrorMessage="0" allowBlank="1" errorTitle="Invalid Selection" error="Please select from the dropdown" promptTitle="Selection Required" prompt="Select from dropdown" type="list">
      <formula1>"1,2,3,4+"</formula1>
    </dataValidation>
    <dataValidation sqref="C50" showDropDown="0" showInputMessage="0" showErrorMessage="0" allowBlank="1" errorTitle="Invalid Selection" error="Please select from the dropdown" promptTitle="Selection Required" prompt="Select from dropdown" type="list">
      <formula1>"Single Country,Multi-Country Regional,Multi-Country Global"</formula1>
    </dataValidation>
    <dataValidation sqref="C57" showDropDown="0" showInputMessage="0" showErrorMessage="0" allowBlank="1" errorTitle="Invalid Selection" error="Please select from the dropdown" promptTitle="Selection Required" prompt="Select from dropdown" type="list">
      <formula1>"Physicians (Specialist),Physicians (GP),Nurses,Pharmacists,Payers,Patients,Consumers,Caregivers,Hospital Admin,KOLs,Vets,Multiple"</formula1>
    </dataValidation>
    <dataValidation sqref="C60" showDropDown="0" showInputMessage="0" showErrorMessage="0" allowBlank="1" errorTitle="Invalid Selection" error="Please select from the dropdown" promptTitle="Selection Required" prompt="Select from dropdown" type="list">
      <formula1>"Online Panel,Client List,Free-Find,Referral,Mixed"</formula1>
    </dataValidation>
    <dataValidation sqref="C65" showDropDown="0" showInputMessage="0" showErrorMessage="0" allowBlank="1" errorTitle="Invalid Selection" error="Please select from the dropdown" promptTitle="Selection Required" prompt="Select from dropdown" type="list">
      <formula1>"PowerPoint,Word,PDF,Dashboard,Multiple"</formula1>
    </dataValidation>
    <dataValidation sqref="C66" showDropDown="0" showInputMessage="0" showErrorMessage="0" allowBlank="1" errorTitle="Invalid Selection" error="Please select from the dropdown" promptTitle="Selection Required" prompt="Select from dropdown" type="list">
      <formula1>"Yes — In Person,Yes — Virtual,No"</formula1>
    </dataValidation>
    <dataValidation sqref="C68" showDropDown="0" showInputMessage="0" showErrorMessage="0" allowBlank="1" errorTitle="Invalid Selection" error="Please select from the dropdown" promptTitle="Selection Required" prompt="Select from dropdown" type="list">
      <formula1>"Yes (SPSS),Yes (CSV),Yes (Excel),No"</formula1>
    </dataValidation>
    <dataValidation sqref="C69" showDropDown="0" showInputMessage="0" showErrorMessage="0" allowBlank="1" errorTitle="Invalid Selection" error="Please select from the dropdown" promptTitle="Selection Required" prompt="Select from dropdown" type="list">
      <formula1>"Yes — Monthly,Yes — Quarterly,Ad-hoc,No"</formula1>
    </dataValidation>
    <dataValidation sqref="C72" showDropDown="0" showInputMessage="0" showErrorMessage="0" allowBlank="1" errorTitle="Invalid Selection" error="Please select from the dropdown" promptTitle="Selection Required" prompt="Select from dropdown" type="list">
      <formula1>"&lt;$50K,$50-100K,$100-250K,$250-500K,$500K-1M,$1M+,Not Disclosed"</formula1>
    </dataValidation>
    <dataValidation sqref="C73" showDropDown="0" showInputMessage="0" showErrorMessage="0" allowBlank="1" errorTitle="Invalid Selection" error="Please select from the dropdown" promptTitle="Selection Required" prompt="Select from dropdown" type="list">
      <formula1>"USD,EUR,GBP,CHF,JPY,Multi-currency"</formula1>
    </dataValidation>
    <dataValidation sqref="C74" showDropDown="0" showInputMessage="0" showErrorMessage="0" allowBlank="1" errorTitle="Invalid Selection" error="Please select from the dropdown" promptTitle="Selection Required" prompt="Select from dropdown" type="list">
      <formula1>"50/50,60/40,Milestone-based,NET 30,NET 60,NET 120"</formula1>
    </dataValidation>
    <dataValidation sqref="C75" showDropDown="0" showInputMessage="0" showErrorMessage="0" allowBlank="1" errorTitle="Invalid Selection" error="Please select from the dropdown" promptTitle="Selection Required" prompt="Select from dropdown" type="list">
      <formula1>"Yes — use Cost Breakdown tab,Yes — vendor format,No"</formula1>
    </dataValidation>
    <dataValidation sqref="C79" showDropDown="0" showInputMessage="0" showErrorMessage="0" allowBlank="1" errorTitle="Invalid Selection" error="Please select from the dropdown" promptTitle="Selection Required" prompt="Select from dropdown" type="list">
      <formula1>"Yes — NDA,Yes — MSA,No"</formula1>
    </dataValidation>
    <dataValidation sqref="C80" showDropDown="0" showInputMessage="0" showErrorMessage="0" allowBlank="1" errorTitle="Invalid Selection" error="Please select from the dropdown" promptTitle="Selection Required" prompt="Select from dropdown" type="list">
      <formula1>"CASRO,ESOMAR,BHBIA,EphMRA,Multiple,None specified"</formula1>
    </dataValidation>
    <dataValidation sqref="C81" showDropDown="0" showInputMessage="0" showErrorMessage="0" allowBlank="1" errorTitle="Invalid Selection" error="Please select from the dropdown" promptTitle="Selection Required" prompt="Select from dropdown" type="list">
      <formula1>"Required,Not applicable"</formula1>
    </dataValidation>
    <dataValidation sqref="C82" showDropDown="0" showInputMessage="0" showErrorMessage="0" allowBlank="1" errorTitle="Invalid Selection" error="Please select from the dropdown" promptTitle="Selection Required" prompt="Select from dropdown" type="list">
      <formula1>"Required,Not applicable"</formula1>
    </dataValidation>
    <dataValidation sqref="C83" showDropDown="0" showInputMessage="0" showErrorMessage="0" allowBlank="1" errorTitle="Invalid Selection" error="Please select from the dropdown" promptTitle="Selection Required" prompt="Select from dropdown" type="list">
      <formula1>"Required,Not required"</formula1>
    </dataValidation>
    <dataValidation sqref="C84" showDropDown="0" showInputMessage="0" showErrorMessage="0" allowBlank="1" errorTitle="Invalid Selection" error="Please select from the dropdown" promptTitle="Selection Required" prompt="Select from dropdown" type="list">
      <formula1>"Required,Not required"</formula1>
    </dataValidation>
  </dataValidations>
  <pageMargins left="0.75" right="0.75" top="1" bottom="1" header="0.5" footer="0.5"/>
</worksheet>
</file>

<file path=xl/worksheets/sheet3.xml><?xml version="1.0" encoding="utf-8"?>
<worksheet xmlns="http://schemas.openxmlformats.org/spreadsheetml/2006/main">
  <sheetPr>
    <tabColor rgb="0016A34A"/>
    <outlinePr summaryBelow="1" summaryRight="1"/>
    <pageSetUpPr/>
  </sheetPr>
  <dimension ref="A1:G51"/>
  <sheetViews>
    <sheetView workbookViewId="0">
      <selection activeCell="A1" sqref="A1"/>
    </sheetView>
  </sheetViews>
  <sheetFormatPr baseColWidth="8" defaultRowHeight="15"/>
  <cols>
    <col width="25" customWidth="1" min="1" max="1"/>
    <col width="45" customWidth="1" min="2" max="2"/>
    <col width="15" customWidth="1" min="3" max="3"/>
    <col width="12" customWidth="1" min="4" max="4"/>
    <col width="15" customWidth="1" min="5" max="5"/>
    <col width="12" customWidth="1" min="6" max="6"/>
    <col width="35" customWidth="1" min="7" max="7"/>
  </cols>
  <sheetData>
    <row r="1">
      <c r="A1" s="2" t="inlineStr">
        <is>
          <t>COST BREAKDOWN TEMPLATE — Complete one per research stage / therapy area / audience</t>
        </is>
      </c>
    </row>
    <row r="2">
      <c r="A2" s="19" t="inlineStr">
        <is>
          <t>Instructions: Fill in costs per line item. Add rows as needed. Provide separate sheets for each therapy area or research stage if applicable. Based on cost structures from RFP-A4, RFP-A10, RFP-A12, RFP-A13.</t>
        </is>
      </c>
      <c r="B2" s="26" t="n"/>
      <c r="C2" s="26" t="n"/>
      <c r="D2" s="26" t="n"/>
      <c r="E2" s="26" t="n"/>
      <c r="F2" s="26" t="n"/>
      <c r="G2" s="27" t="n"/>
    </row>
    <row r="4">
      <c r="A4" s="9" t="inlineStr">
        <is>
          <t>Cost Category</t>
        </is>
      </c>
      <c r="B4" s="9" t="inlineStr">
        <is>
          <t>Cost Driver / Line Item</t>
        </is>
      </c>
      <c r="C4" s="9" t="inlineStr">
        <is>
          <t>Unit Cost</t>
        </is>
      </c>
      <c r="D4" s="9" t="inlineStr">
        <is>
          <t>Quantity</t>
        </is>
      </c>
      <c r="E4" s="9" t="inlineStr">
        <is>
          <t>Total Cost</t>
        </is>
      </c>
      <c r="F4" s="9" t="inlineStr">
        <is>
          <t>Currency</t>
        </is>
      </c>
      <c r="G4" s="9" t="inlineStr">
        <is>
          <t>Notes</t>
        </is>
      </c>
    </row>
    <row r="5">
      <c r="A5" s="20" t="inlineStr">
        <is>
          <t>A. Project Initiation</t>
        </is>
      </c>
      <c r="B5" s="20" t="inlineStr"/>
      <c r="C5" s="20" t="inlineStr"/>
      <c r="D5" s="20" t="inlineStr"/>
      <c r="E5" s="20" t="inlineStr"/>
      <c r="F5" s="20" t="inlineStr"/>
      <c r="G5" s="20" t="inlineStr"/>
    </row>
    <row r="6">
      <c r="A6" s="14" t="inlineStr"/>
      <c r="B6" s="14" t="inlineStr">
        <is>
          <t>Project design &amp; methodology</t>
        </is>
      </c>
      <c r="C6" s="15" t="inlineStr">
        <is>
          <t>$3,500</t>
        </is>
      </c>
      <c r="D6" s="15" t="inlineStr">
        <is>
          <t>1</t>
        </is>
      </c>
      <c r="E6" s="15" t="inlineStr">
        <is>
          <t>$3,500</t>
        </is>
      </c>
      <c r="F6" s="18" t="inlineStr">
        <is>
          <t>USD|EUR|GBP</t>
        </is>
      </c>
      <c r="G6" s="14" t="inlineStr"/>
    </row>
    <row r="7">
      <c r="A7" s="14" t="inlineStr"/>
      <c r="B7" s="14" t="inlineStr">
        <is>
          <t>Proposal development</t>
        </is>
      </c>
      <c r="C7" s="15" t="inlineStr">
        <is>
          <t>$2,000</t>
        </is>
      </c>
      <c r="D7" s="15" t="inlineStr">
        <is>
          <t>1</t>
        </is>
      </c>
      <c r="E7" s="15" t="inlineStr">
        <is>
          <t>$2,000</t>
        </is>
      </c>
      <c r="F7" s="14" t="inlineStr"/>
      <c r="G7" s="14" t="inlineStr"/>
    </row>
    <row r="8">
      <c r="A8" s="14" t="inlineStr"/>
      <c r="B8" s="14" t="inlineStr">
        <is>
          <t>Questionnaire / guide development</t>
        </is>
      </c>
      <c r="C8" s="15" t="inlineStr">
        <is>
          <t>$4,500</t>
        </is>
      </c>
      <c r="D8" s="15" t="inlineStr">
        <is>
          <t>1</t>
        </is>
      </c>
      <c r="E8" s="15" t="inlineStr">
        <is>
          <t>$4,500</t>
        </is>
      </c>
      <c r="F8" s="14" t="inlineStr"/>
      <c r="G8" s="14" t="inlineStr"/>
    </row>
    <row r="9">
      <c r="A9" s="14" t="inlineStr"/>
      <c r="B9" s="14" t="inlineStr">
        <is>
          <t>Questionnaire programming</t>
        </is>
      </c>
      <c r="C9" s="15" t="inlineStr">
        <is>
          <t>$3,000</t>
        </is>
      </c>
      <c r="D9" s="15" t="inlineStr">
        <is>
          <t>1</t>
        </is>
      </c>
      <c r="E9" s="15" t="inlineStr">
        <is>
          <t>$3,000</t>
        </is>
      </c>
      <c r="F9" s="14" t="inlineStr"/>
      <c r="G9" s="14" t="inlineStr"/>
    </row>
    <row r="10">
      <c r="A10" s="14" t="inlineStr"/>
      <c r="B10" s="14" t="inlineStr">
        <is>
          <t>Translation / localization</t>
        </is>
      </c>
      <c r="C10" s="15" t="inlineStr">
        <is>
          <t>$1,500</t>
        </is>
      </c>
      <c r="D10" s="15" t="inlineStr">
        <is>
          <t>2</t>
        </is>
      </c>
      <c r="E10" s="15" t="inlineStr">
        <is>
          <t>$3,000</t>
        </is>
      </c>
      <c r="F10" s="14" t="inlineStr"/>
      <c r="G10" s="15" t="inlineStr">
        <is>
          <t>2</t>
        </is>
      </c>
    </row>
    <row r="11">
      <c r="A11" s="14" t="inlineStr"/>
      <c r="B11" s="14" t="inlineStr"/>
      <c r="C11" s="14" t="inlineStr"/>
      <c r="D11" s="14" t="inlineStr"/>
      <c r="E11" s="14" t="inlineStr"/>
      <c r="F11" s="14" t="inlineStr"/>
      <c r="G11" s="14" t="inlineStr"/>
    </row>
    <row r="12">
      <c r="A12" s="20" t="inlineStr">
        <is>
          <t>B. Fieldwork Preparation</t>
        </is>
      </c>
      <c r="B12" s="20" t="inlineStr"/>
      <c r="C12" s="20" t="inlineStr"/>
      <c r="D12" s="20" t="inlineStr"/>
      <c r="E12" s="20" t="inlineStr"/>
      <c r="F12" s="20" t="inlineStr"/>
      <c r="G12" s="20" t="inlineStr"/>
    </row>
    <row r="13">
      <c r="A13" s="14" t="inlineStr"/>
      <c r="B13" s="14" t="inlineStr">
        <is>
          <t>Scheduling / logistics</t>
        </is>
      </c>
      <c r="C13" s="15" t="inlineStr">
        <is>
          <t>$500</t>
        </is>
      </c>
      <c r="D13" s="15" t="inlineStr">
        <is>
          <t>1</t>
        </is>
      </c>
      <c r="E13" s="15" t="inlineStr">
        <is>
          <t>$500</t>
        </is>
      </c>
      <c r="F13" s="14" t="inlineStr"/>
      <c r="G13" s="14" t="inlineStr"/>
    </row>
    <row r="14">
      <c r="A14" s="14" t="inlineStr"/>
      <c r="B14" s="14" t="inlineStr">
        <is>
          <t>Interviewer briefing &amp; instructions</t>
        </is>
      </c>
      <c r="C14" s="15" t="inlineStr">
        <is>
          <t>$1,200</t>
        </is>
      </c>
      <c r="D14" s="15" t="inlineStr">
        <is>
          <t>1</t>
        </is>
      </c>
      <c r="E14" s="15" t="inlineStr">
        <is>
          <t>$1,200</t>
        </is>
      </c>
      <c r="F14" s="14" t="inlineStr"/>
      <c r="G14" s="14" t="inlineStr"/>
    </row>
    <row r="15">
      <c r="A15" s="14" t="inlineStr"/>
      <c r="B15" s="14" t="inlineStr">
        <is>
          <t>Print / mail / materials</t>
        </is>
      </c>
      <c r="C15" s="15" t="inlineStr">
        <is>
          <t>$800</t>
        </is>
      </c>
      <c r="D15" s="15" t="inlineStr">
        <is>
          <t>1</t>
        </is>
      </c>
      <c r="E15" s="15" t="inlineStr">
        <is>
          <t>$800</t>
        </is>
      </c>
      <c r="F15" s="14" t="inlineStr"/>
      <c r="G15" s="14" t="inlineStr"/>
    </row>
    <row r="16">
      <c r="A16" s="14" t="inlineStr"/>
      <c r="B16" s="14" t="inlineStr">
        <is>
          <t>Pilot / soft launch</t>
        </is>
      </c>
      <c r="C16" s="15" t="inlineStr">
        <is>
          <t>$1,500</t>
        </is>
      </c>
      <c r="D16" s="15" t="inlineStr">
        <is>
          <t>1</t>
        </is>
      </c>
      <c r="E16" s="15" t="inlineStr">
        <is>
          <t>$1,500</t>
        </is>
      </c>
      <c r="F16" s="14" t="inlineStr"/>
      <c r="G16" s="14" t="inlineStr"/>
    </row>
    <row r="17">
      <c r="A17" s="14" t="inlineStr"/>
      <c r="B17" s="14" t="inlineStr"/>
      <c r="C17" s="14" t="inlineStr"/>
      <c r="D17" s="14" t="inlineStr"/>
      <c r="E17" s="14" t="inlineStr"/>
      <c r="F17" s="14" t="inlineStr"/>
      <c r="G17" s="14" t="inlineStr"/>
    </row>
    <row r="18">
      <c r="A18" s="20" t="inlineStr">
        <is>
          <t>C. Fieldwork</t>
        </is>
      </c>
      <c r="B18" s="20" t="inlineStr"/>
      <c r="C18" s="20" t="inlineStr"/>
      <c r="D18" s="20" t="inlineStr"/>
      <c r="E18" s="20" t="inlineStr"/>
      <c r="F18" s="20" t="inlineStr"/>
      <c r="G18" s="20" t="inlineStr"/>
    </row>
    <row r="19">
      <c r="A19" s="14" t="inlineStr"/>
      <c r="B19" s="14" t="inlineStr">
        <is>
          <t>Recruitment / screening</t>
        </is>
      </c>
      <c r="C19" s="15" t="inlineStr">
        <is>
          <t>$25</t>
        </is>
      </c>
      <c r="D19" s="15" t="inlineStr">
        <is>
          <t>300</t>
        </is>
      </c>
      <c r="E19" s="15" t="inlineStr">
        <is>
          <t>$7,500</t>
        </is>
      </c>
      <c r="F19" s="14" t="inlineStr"/>
      <c r="G19" s="15" t="inlineStr">
        <is>
          <t>The biologic market to treat Rheumatoid Arthritis is very crowded and competitive. There are two traditional ways that biologic medications are delivered: (Self-Administered) Sub-Q injection, and (Healthcare Professional Administered) Infusion. The market is currently dominated by [BRAND] (sub-Q), [BRAND] (sub-Q) and [BRAND] (IV).
In the 2nd half of [YEAR] [CLIENT_ORG] launched [BRAND_A] (IV) for adults with moderate to severe rheumatoid arthritis taken with methotrexate. Since launch approximat</t>
        </is>
      </c>
    </row>
    <row r="20">
      <c r="A20" s="14" t="inlineStr"/>
      <c r="B20" s="14" t="inlineStr">
        <is>
          <t>Data collection (interviewing)</t>
        </is>
      </c>
      <c r="C20" s="15" t="inlineStr">
        <is>
          <t>$15</t>
        </is>
      </c>
      <c r="D20" s="15" t="inlineStr">
        <is>
          <t>300</t>
        </is>
      </c>
      <c r="E20" s="15" t="inlineStr">
        <is>
          <t>$4,500</t>
        </is>
      </c>
      <c r="F20" s="14" t="inlineStr"/>
      <c r="G20" s="14" t="inlineStr"/>
    </row>
    <row r="21">
      <c r="A21" s="14" t="inlineStr"/>
      <c r="B21" s="14" t="inlineStr">
        <is>
          <t>Respondent incentives / honoraria</t>
        </is>
      </c>
      <c r="C21" s="15" t="inlineStr">
        <is>
          <t>$75</t>
        </is>
      </c>
      <c r="D21" s="15" t="inlineStr">
        <is>
          <t>300</t>
        </is>
      </c>
      <c r="E21" s="15" t="inlineStr">
        <is>
          <t>$22,500</t>
        </is>
      </c>
      <c r="F21" s="14" t="inlineStr"/>
      <c r="G21" s="15" t="inlineStr">
        <is>
          <t>$75</t>
        </is>
      </c>
    </row>
    <row r="22">
      <c r="A22" s="14" t="inlineStr"/>
      <c r="B22" s="14" t="inlineStr">
        <is>
          <t>Validation / quality control</t>
        </is>
      </c>
      <c r="C22" s="15" t="inlineStr">
        <is>
          <t>$2,000</t>
        </is>
      </c>
      <c r="D22" s="15" t="inlineStr">
        <is>
          <t>1</t>
        </is>
      </c>
      <c r="E22" s="15" t="inlineStr">
        <is>
          <t>$2,000</t>
        </is>
      </c>
      <c r="F22" s="14" t="inlineStr"/>
      <c r="G22" s="14" t="inlineStr"/>
    </row>
    <row r="23">
      <c r="A23" s="14" t="inlineStr"/>
      <c r="B23" s="14" t="inlineStr">
        <is>
          <t>Compliance / monitoring</t>
        </is>
      </c>
      <c r="C23" s="15" t="inlineStr">
        <is>
          <t>$1,500</t>
        </is>
      </c>
      <c r="D23" s="15" t="inlineStr">
        <is>
          <t>1</t>
        </is>
      </c>
      <c r="E23" s="15" t="inlineStr">
        <is>
          <t>$1,500</t>
        </is>
      </c>
      <c r="F23" s="14" t="inlineStr"/>
      <c r="G23" s="14" t="inlineStr"/>
    </row>
    <row r="24">
      <c r="A24" s="14" t="inlineStr"/>
      <c r="B24" s="14" t="inlineStr"/>
      <c r="C24" s="14" t="inlineStr"/>
      <c r="D24" s="14" t="inlineStr"/>
      <c r="E24" s="14" t="inlineStr"/>
      <c r="F24" s="14" t="inlineStr"/>
      <c r="G24" s="14" t="inlineStr"/>
    </row>
    <row r="25">
      <c r="A25" s="20" t="inlineStr">
        <is>
          <t>D. Data Processing</t>
        </is>
      </c>
      <c r="B25" s="20" t="inlineStr"/>
      <c r="C25" s="20" t="inlineStr"/>
      <c r="D25" s="20" t="inlineStr"/>
      <c r="E25" s="20" t="inlineStr"/>
      <c r="F25" s="20" t="inlineStr"/>
      <c r="G25" s="20" t="inlineStr"/>
    </row>
    <row r="26">
      <c r="A26" s="14" t="inlineStr"/>
      <c r="B26" s="14" t="inlineStr">
        <is>
          <t>Code building</t>
        </is>
      </c>
      <c r="C26" s="15" t="inlineStr">
        <is>
          <t>$2,500</t>
        </is>
      </c>
      <c r="D26" s="15" t="inlineStr">
        <is>
          <t>1</t>
        </is>
      </c>
      <c r="E26" s="15" t="inlineStr">
        <is>
          <t>$2,500</t>
        </is>
      </c>
      <c r="F26" s="14" t="inlineStr"/>
      <c r="G26" s="14" t="inlineStr"/>
    </row>
    <row r="27">
      <c r="A27" s="14" t="inlineStr"/>
      <c r="B27" s="14" t="inlineStr">
        <is>
          <t>Coding (open-ends)</t>
        </is>
      </c>
      <c r="C27" s="15" t="inlineStr">
        <is>
          <t>$3,000</t>
        </is>
      </c>
      <c r="D27" s="15" t="inlineStr">
        <is>
          <t>1</t>
        </is>
      </c>
      <c r="E27" s="15" t="inlineStr">
        <is>
          <t>$3,000</t>
        </is>
      </c>
      <c r="F27" s="14" t="inlineStr"/>
      <c r="G27" s="14" t="inlineStr"/>
    </row>
    <row r="28">
      <c r="A28" s="14" t="inlineStr"/>
      <c r="B28" s="14" t="inlineStr">
        <is>
          <t>Data entry / cleaning</t>
        </is>
      </c>
      <c r="C28" s="15" t="inlineStr">
        <is>
          <t>$1,500</t>
        </is>
      </c>
      <c r="D28" s="15" t="inlineStr">
        <is>
          <t>1</t>
        </is>
      </c>
      <c r="E28" s="15" t="inlineStr">
        <is>
          <t>$1,500</t>
        </is>
      </c>
      <c r="F28" s="14" t="inlineStr"/>
      <c r="G28" s="14" t="inlineStr"/>
    </row>
    <row r="29">
      <c r="A29" s="14" t="inlineStr"/>
      <c r="B29" s="14" t="inlineStr">
        <is>
          <t>Tabulation / cross-tabs</t>
        </is>
      </c>
      <c r="C29" s="15" t="inlineStr">
        <is>
          <t>$2,000</t>
        </is>
      </c>
      <c r="D29" s="15" t="inlineStr">
        <is>
          <t>1</t>
        </is>
      </c>
      <c r="E29" s="15" t="inlineStr">
        <is>
          <t>$2,000</t>
        </is>
      </c>
      <c r="F29" s="14" t="inlineStr"/>
      <c r="G29" s="14" t="inlineStr"/>
    </row>
    <row r="30">
      <c r="A30" s="14" t="inlineStr"/>
      <c r="B30" s="14" t="inlineStr"/>
      <c r="C30" s="14" t="inlineStr"/>
      <c r="D30" s="14" t="inlineStr"/>
      <c r="E30" s="14" t="inlineStr"/>
      <c r="F30" s="14" t="inlineStr"/>
      <c r="G30" s="14" t="inlineStr"/>
    </row>
    <row r="31">
      <c r="A31" s="20" t="inlineStr">
        <is>
          <t>E. Analytics &amp; Reporting</t>
        </is>
      </c>
      <c r="B31" s="20" t="inlineStr"/>
      <c r="C31" s="20" t="inlineStr"/>
      <c r="D31" s="20" t="inlineStr"/>
      <c r="E31" s="20" t="inlineStr"/>
      <c r="F31" s="20" t="inlineStr"/>
      <c r="G31" s="20" t="inlineStr"/>
    </row>
    <row r="32">
      <c r="A32" s="14" t="inlineStr"/>
      <c r="B32" s="14" t="inlineStr">
        <is>
          <t>Statistical analysis</t>
        </is>
      </c>
      <c r="C32" s="15" t="inlineStr">
        <is>
          <t>$8,000</t>
        </is>
      </c>
      <c r="D32" s="15" t="inlineStr">
        <is>
          <t>1</t>
        </is>
      </c>
      <c r="E32" s="15" t="inlineStr">
        <is>
          <t>$8,000</t>
        </is>
      </c>
      <c r="F32" s="14" t="inlineStr"/>
      <c r="G32" s="14" t="inlineStr"/>
    </row>
    <row r="33">
      <c r="A33" s="14" t="inlineStr"/>
      <c r="B33" s="14" t="inlineStr">
        <is>
          <t>Conjoint / modeling (if applicable)</t>
        </is>
      </c>
      <c r="C33" s="15" t="inlineStr">
        <is>
          <t>$5,000</t>
        </is>
      </c>
      <c r="D33" s="15" t="inlineStr">
        <is>
          <t>1</t>
        </is>
      </c>
      <c r="E33" s="15" t="inlineStr">
        <is>
          <t>$5,000</t>
        </is>
      </c>
      <c r="F33" s="14" t="inlineStr"/>
      <c r="G33" s="14" t="inlineStr"/>
    </row>
    <row r="34">
      <c r="A34" s="14" t="inlineStr"/>
      <c r="B34" s="14" t="inlineStr">
        <is>
          <t>Report writing</t>
        </is>
      </c>
      <c r="C34" s="15" t="inlineStr">
        <is>
          <t>$12,000</t>
        </is>
      </c>
      <c r="D34" s="15" t="inlineStr">
        <is>
          <t>1</t>
        </is>
      </c>
      <c r="E34" s="15" t="inlineStr">
        <is>
          <t>$12,000</t>
        </is>
      </c>
      <c r="F34" s="14" t="inlineStr"/>
      <c r="G34" s="14" t="inlineStr"/>
    </row>
    <row r="35">
      <c r="A35" s="14" t="inlineStr"/>
      <c r="B35" s="14" t="inlineStr">
        <is>
          <t>Dashboard / interactive tool</t>
        </is>
      </c>
      <c r="C35" s="15" t="inlineStr">
        <is>
          <t>$4,000</t>
        </is>
      </c>
      <c r="D35" s="15" t="inlineStr">
        <is>
          <t>1</t>
        </is>
      </c>
      <c r="E35" s="15" t="inlineStr">
        <is>
          <t>$4,000</t>
        </is>
      </c>
      <c r="F35" s="14" t="inlineStr"/>
      <c r="G35" s="14" t="inlineStr"/>
    </row>
    <row r="36">
      <c r="A36" s="14" t="inlineStr"/>
      <c r="B36" s="14" t="inlineStr">
        <is>
          <t>Simulator model</t>
        </is>
      </c>
      <c r="C36" s="15" t="inlineStr">
        <is>
          <t>$6,000</t>
        </is>
      </c>
      <c r="D36" s="15" t="inlineStr">
        <is>
          <t>1</t>
        </is>
      </c>
      <c r="E36" s="15" t="inlineStr">
        <is>
          <t>$6,000</t>
        </is>
      </c>
      <c r="F36" s="14" t="inlineStr"/>
      <c r="G36" s="14" t="inlineStr"/>
    </row>
    <row r="37">
      <c r="A37" s="14" t="inlineStr"/>
      <c r="B37" s="14" t="inlineStr"/>
      <c r="C37" s="14" t="inlineStr"/>
      <c r="D37" s="14" t="inlineStr"/>
      <c r="E37" s="14" t="inlineStr"/>
      <c r="F37" s="14" t="inlineStr"/>
      <c r="G37" s="14" t="inlineStr"/>
    </row>
    <row r="38">
      <c r="A38" s="20" t="inlineStr">
        <is>
          <t>F. Presentation &amp; Travel</t>
        </is>
      </c>
      <c r="B38" s="20" t="inlineStr"/>
      <c r="C38" s="20" t="inlineStr"/>
      <c r="D38" s="20" t="inlineStr"/>
      <c r="E38" s="20" t="inlineStr"/>
      <c r="F38" s="20" t="inlineStr"/>
      <c r="G38" s="20" t="inlineStr"/>
    </row>
    <row r="39">
      <c r="A39" s="14" t="inlineStr"/>
      <c r="B39" s="14" t="inlineStr">
        <is>
          <t>In-person presentation</t>
        </is>
      </c>
      <c r="C39" s="15" t="inlineStr">
        <is>
          <t>$3,000</t>
        </is>
      </c>
      <c r="D39" s="15" t="inlineStr">
        <is>
          <t>2</t>
        </is>
      </c>
      <c r="E39" s="15" t="inlineStr">
        <is>
          <t>$6,000</t>
        </is>
      </c>
      <c r="F39" s="14" t="inlineStr"/>
      <c r="G39" s="14" t="inlineStr"/>
    </row>
    <row r="40">
      <c r="A40" s="14" t="inlineStr"/>
      <c r="B40" s="14" t="inlineStr">
        <is>
          <t>Travel expenses (flights)</t>
        </is>
      </c>
      <c r="C40" s="15" t="inlineStr">
        <is>
          <t>$800</t>
        </is>
      </c>
      <c r="D40" s="15" t="inlineStr">
        <is>
          <t>2</t>
        </is>
      </c>
      <c r="E40" s="15" t="inlineStr">
        <is>
          <t>$1,600</t>
        </is>
      </c>
      <c r="F40" s="14" t="inlineStr"/>
      <c r="G40" s="14" t="inlineStr"/>
    </row>
    <row r="41">
      <c r="A41" s="14" t="inlineStr"/>
      <c r="B41" s="14" t="inlineStr">
        <is>
          <t>Travel expenses (hotel)</t>
        </is>
      </c>
      <c r="C41" s="15" t="inlineStr">
        <is>
          <t>$400</t>
        </is>
      </c>
      <c r="D41" s="15" t="inlineStr">
        <is>
          <t>2</t>
        </is>
      </c>
      <c r="E41" s="15" t="inlineStr">
        <is>
          <t>$800</t>
        </is>
      </c>
      <c r="F41" s="14" t="inlineStr"/>
      <c r="G41" s="14" t="inlineStr"/>
    </row>
    <row r="42">
      <c r="A42" s="14" t="inlineStr"/>
      <c r="B42" s="14" t="inlineStr">
        <is>
          <t>Travel expenses (other)</t>
        </is>
      </c>
      <c r="C42" s="15" t="inlineStr">
        <is>
          <t>$200</t>
        </is>
      </c>
      <c r="D42" s="15" t="inlineStr">
        <is>
          <t>2</t>
        </is>
      </c>
      <c r="E42" s="15" t="inlineStr">
        <is>
          <t>$400</t>
        </is>
      </c>
      <c r="F42" s="14" t="inlineStr"/>
      <c r="G42" s="14" t="inlineStr"/>
    </row>
    <row r="43">
      <c r="A43" s="14" t="inlineStr"/>
      <c r="B43" s="14" t="inlineStr"/>
      <c r="C43" s="14" t="inlineStr"/>
      <c r="D43" s="14" t="inlineStr"/>
      <c r="E43" s="14" t="inlineStr"/>
      <c r="F43" s="14" t="inlineStr"/>
      <c r="G43" s="14" t="inlineStr"/>
    </row>
    <row r="44">
      <c r="A44" s="20" t="inlineStr">
        <is>
          <t>G. Overheads &amp; Management</t>
        </is>
      </c>
      <c r="B44" s="20" t="inlineStr"/>
      <c r="C44" s="20" t="inlineStr"/>
      <c r="D44" s="20" t="inlineStr"/>
      <c r="E44" s="20" t="inlineStr"/>
      <c r="F44" s="20" t="inlineStr"/>
      <c r="G44" s="20" t="inlineStr"/>
    </row>
    <row r="45">
      <c r="A45" s="14" t="inlineStr"/>
      <c r="B45" s="14" t="inlineStr">
        <is>
          <t>Project management</t>
        </is>
      </c>
      <c r="C45" s="15" t="inlineStr">
        <is>
          <t>$5,000</t>
        </is>
      </c>
      <c r="D45" s="15" t="inlineStr">
        <is>
          <t>1</t>
        </is>
      </c>
      <c r="E45" s="15" t="inlineStr">
        <is>
          <t>$5,000</t>
        </is>
      </c>
      <c r="F45" s="14" t="inlineStr"/>
      <c r="G45" s="14" t="inlineStr"/>
    </row>
    <row r="46">
      <c r="A46" s="14" t="inlineStr"/>
      <c r="B46" s="14" t="inlineStr">
        <is>
          <t>Technology / platform fees</t>
        </is>
      </c>
      <c r="C46" s="15" t="inlineStr">
        <is>
          <t>$2,000</t>
        </is>
      </c>
      <c r="D46" s="15" t="inlineStr">
        <is>
          <t>1</t>
        </is>
      </c>
      <c r="E46" s="15" t="inlineStr">
        <is>
          <t>$2,000</t>
        </is>
      </c>
      <c r="F46" s="14" t="inlineStr"/>
      <c r="G46" s="14" t="inlineStr"/>
    </row>
    <row r="47">
      <c r="A47" s="14" t="inlineStr"/>
      <c r="B47" s="14" t="inlineStr">
        <is>
          <t>Administrative overhead</t>
        </is>
      </c>
      <c r="C47" s="15" t="inlineStr">
        <is>
          <t>$1,500</t>
        </is>
      </c>
      <c r="D47" s="15" t="inlineStr">
        <is>
          <t>1</t>
        </is>
      </c>
      <c r="E47" s="15" t="inlineStr">
        <is>
          <t>$1,500</t>
        </is>
      </c>
      <c r="F47" s="14" t="inlineStr"/>
      <c r="G47" s="14" t="inlineStr"/>
    </row>
    <row r="48">
      <c r="A48" s="14" t="inlineStr"/>
      <c r="B48" s="14" t="inlineStr"/>
      <c r="C48" s="14" t="inlineStr"/>
      <c r="D48" s="14" t="inlineStr"/>
      <c r="E48" s="14" t="inlineStr"/>
      <c r="F48" s="14" t="inlineStr"/>
      <c r="G48" s="14" t="inlineStr"/>
    </row>
    <row r="49">
      <c r="A49" s="20" t="inlineStr">
        <is>
          <t>TOTAL PROJECT COST</t>
        </is>
      </c>
      <c r="B49" s="20" t="inlineStr"/>
      <c r="C49" s="20" t="inlineStr"/>
      <c r="D49" s="20" t="inlineStr"/>
      <c r="E49" s="20">
        <f>SUM(E5:E44)</f>
        <v/>
      </c>
      <c r="F49" s="20" t="inlineStr"/>
      <c r="G49" s="20" t="inlineStr"/>
    </row>
    <row r="51">
      <c r="A51" s="17" t="inlineStr">
        <is>
          <t>EXAMPLE (from RFP-A4): Campaign Development project — UK/Germany/Spain, 12 IDIs per market: Project Initiation £14,000 | Fieldwork Prep £18,400 | Fieldwork £23,800 | Analytics £43,800 | Other £20,200</t>
        </is>
      </c>
      <c r="B51" s="26" t="n"/>
      <c r="C51" s="26" t="n"/>
      <c r="D51" s="26" t="n"/>
      <c r="E51" s="26" t="n"/>
      <c r="F51" s="26" t="n"/>
      <c r="G51" s="27" t="n"/>
    </row>
  </sheetData>
  <mergeCells count="3">
    <mergeCell ref="A2:G2"/>
    <mergeCell ref="A1:G1"/>
    <mergeCell ref="A51:G51"/>
  </mergeCells>
  <pageMargins left="0.75" right="0.75" top="1" bottom="1" header="0.5" footer="0.5"/>
</worksheet>
</file>

<file path=xl/worksheets/sheet4.xml><?xml version="1.0" encoding="utf-8"?>
<worksheet xmlns="http://schemas.openxmlformats.org/spreadsheetml/2006/main">
  <sheetPr>
    <tabColor rgb="00F59E0B"/>
    <outlinePr summaryBelow="1" summaryRight="1"/>
    <pageSetUpPr/>
  </sheetPr>
  <dimension ref="A1:I16"/>
  <sheetViews>
    <sheetView workbookViewId="0">
      <selection activeCell="A1" sqref="A1"/>
    </sheetView>
  </sheetViews>
  <sheetFormatPr baseColWidth="8" defaultRowHeight="15"/>
  <cols>
    <col width="20" customWidth="1" min="1" max="1"/>
    <col width="15" customWidth="1" min="2" max="2"/>
    <col width="20" customWidth="1" min="3" max="3"/>
    <col width="15" customWidth="1" min="4" max="4"/>
    <col width="25" customWidth="1" min="5" max="5"/>
    <col width="35" customWidth="1" min="6" max="6"/>
    <col width="20" customWidth="1" min="7" max="7"/>
    <col width="12" customWidth="1" min="8" max="8"/>
    <col width="35" customWidth="1" min="9" max="9"/>
  </cols>
  <sheetData>
    <row r="1">
      <c r="A1" s="2" t="inlineStr">
        <is>
          <t>MARKETS, SAMPLE DESIGN &amp; MODALITY SCOPE</t>
        </is>
      </c>
    </row>
    <row r="2">
      <c r="A2" s="19" t="inlineStr">
        <is>
          <t>Define per-country details: target audiences, sample sizes, modalities in scope. Based on structures from RFP-A1 (brand-audience-market matrix), RFP-A12 (multi-country modality scope), RFP-A13 (therapy area specifications).</t>
        </is>
      </c>
      <c r="B2" s="26" t="n"/>
      <c r="C2" s="26" t="n"/>
      <c r="D2" s="26" t="n"/>
      <c r="E2" s="26" t="n"/>
      <c r="F2" s="26" t="n"/>
      <c r="G2" s="26" t="n"/>
      <c r="H2" s="26" t="n"/>
      <c r="I2" s="27" t="n"/>
    </row>
    <row r="4">
      <c r="A4" s="9" t="inlineStr">
        <is>
          <t>Country / Region</t>
        </is>
      </c>
      <c r="B4" s="9" t="inlineStr">
        <is>
          <t>Priority Tier</t>
        </is>
      </c>
      <c r="C4" s="9" t="inlineStr">
        <is>
          <t>Audience Type</t>
        </is>
      </c>
      <c r="D4" s="9" t="inlineStr">
        <is>
          <t>N (Sample Size)</t>
        </is>
      </c>
      <c r="E4" s="9" t="inlineStr">
        <is>
          <t>Specialty / Profile</t>
        </is>
      </c>
      <c r="F4" s="9" t="inlineStr">
        <is>
          <t>Modalities / Products in Scope</t>
        </is>
      </c>
      <c r="G4" s="9" t="inlineStr">
        <is>
          <t>Recruitment Method</t>
        </is>
      </c>
      <c r="H4" s="9" t="inlineStr">
        <is>
          <t>LOI (min)</t>
        </is>
      </c>
      <c r="I4" s="9" t="inlineStr">
        <is>
          <t>Local Requirements / Notes</t>
        </is>
      </c>
    </row>
    <row r="5">
      <c r="A5" s="15" t="inlineStr">
        <is>
          <t>The biologic market to treat Rheumatoid Arthritis is very crowded and competitive. There are two traditional ways that biologic medications are delivered: (Self-Administered) Sub-Q injection, and (Healthcare Professional Administered) Infusion. The market is currently dominated by [BRAND] (sub-Q), [BRAND] (sub-Q) and [BRAND] (IV).
In the 2nd half of [YEAR] [CLIENT_ORG] launched [BRAND_A] (IV) for adults with moderate to severe rheumatoid arthritis taken with methotrexate. Since launch approximat</t>
        </is>
      </c>
      <c r="B5" s="18" t="inlineStr">
        <is>
          <t>Gold|Silver|Bronze|Core|Optional</t>
        </is>
      </c>
      <c r="C5" s="18" t="inlineStr">
        <is>
          <t>Physicians (Specialists)</t>
        </is>
      </c>
      <c r="D5" s="15" t="inlineStr">
        <is>
          <t>N=300</t>
        </is>
      </c>
      <c r="E5" s="15" t="inlineStr">
        <is>
          <t>Rheumatology</t>
        </is>
      </c>
      <c r="F5" s="15" t="inlineStr">
        <is>
          <t>PROJECT NAME: [BRAND_A] Patient Chart Audit Study
PRODUCT NAME: [BRAND_A]</t>
        </is>
      </c>
      <c r="G5" s="18" t="inlineStr">
        <is>
          <t>Panel|Client List|Free-Find|Mixed</t>
        </is>
      </c>
      <c r="H5" s="15" t="inlineStr">
        <is>
          <t>30 min</t>
        </is>
      </c>
      <c r="I5" s="15" t="inlineStr">
        <is>
          <t>English</t>
        </is>
      </c>
    </row>
    <row r="6">
      <c r="A6" s="15" t="inlineStr">
        <is>
          <t>The biologic market to treat Rheumatoid Arthritis is very crowded and competitive. There are two traditional ways that biologic medications are delivered: (Self-Administered) Sub-Q injection, and (Healthcare Professional Administered) Infusion. The market is currently dominated by [BRAND] (sub-Q), [BRAND] (sub-Q) and [BRAND] (IV).
In the 2nd half of [YEAR] [CLIENT_ORG] launched [BRAND_A] (IV) for adults with moderate to severe rheumatoid arthritis taken with methotrexate. Since launch approximat</t>
        </is>
      </c>
      <c r="B6" s="18" t="inlineStr">
        <is>
          <t>Gold|Silver|Bronze|Core|Optional</t>
        </is>
      </c>
      <c r="C6" s="18" t="inlineStr">
        <is>
          <t>Physicians (Specialists)</t>
        </is>
      </c>
      <c r="D6" s="15" t="inlineStr">
        <is>
          <t>N=100</t>
        </is>
      </c>
      <c r="E6" s="15" t="inlineStr">
        <is>
          <t>Specialists</t>
        </is>
      </c>
      <c r="F6" s="15" t="inlineStr">
        <is>
          <t>Per RFP scope</t>
        </is>
      </c>
      <c r="G6" s="18" t="inlineStr">
        <is>
          <t>Panel|Client List|Free-Find|Mixed</t>
        </is>
      </c>
      <c r="H6" s="15" t="inlineStr">
        <is>
          <t>30 min</t>
        </is>
      </c>
      <c r="I6" s="15" t="inlineStr">
        <is>
          <t>Local language</t>
        </is>
      </c>
    </row>
    <row r="7">
      <c r="A7" s="15" t="inlineStr">
        <is>
          <t>The biologic market to treat Rheumatoid Arthritis is very crowded and competitive. There are two traditional ways that biologic medications are delivered: (Self-Administered) Sub-Q injection, and (Healthcare Professional Administered) Infusion. The market is currently dominated by [BRAND] (sub-Q), [BRAND] (sub-Q) and [BRAND] (IV).
In the 2nd half of [YEAR] [CLIENT_ORG] launched [BRAND_A] (IV) for adults with moderate to severe rheumatoid arthritis taken with methotrexate. Since launch approximat</t>
        </is>
      </c>
      <c r="B7" s="18" t="inlineStr">
        <is>
          <t>Gold|Silver|Bronze|Core|Optional</t>
        </is>
      </c>
      <c r="C7" s="18" t="inlineStr">
        <is>
          <t>Physicians (Specialists)</t>
        </is>
      </c>
      <c r="D7" s="15" t="inlineStr">
        <is>
          <t>N=100</t>
        </is>
      </c>
      <c r="E7" s="15" t="inlineStr">
        <is>
          <t>Specialists</t>
        </is>
      </c>
      <c r="F7" s="15" t="inlineStr">
        <is>
          <t>Per RFP scope</t>
        </is>
      </c>
      <c r="G7" s="18" t="inlineStr">
        <is>
          <t>Panel|Client List|Free-Find|Mixed</t>
        </is>
      </c>
      <c r="H7" s="15" t="inlineStr">
        <is>
          <t>30 min</t>
        </is>
      </c>
      <c r="I7" s="15" t="inlineStr">
        <is>
          <t>Local language</t>
        </is>
      </c>
    </row>
    <row r="8">
      <c r="A8" s="15" t="inlineStr">
        <is>
          <t>The biologic market to treat Rheumatoid Arthritis is very crowded and competitive. There are two traditional ways that biologic medications are delivered: (Self-Administered) Sub-Q injection, and (Healthcare Professional Administered) Infusion. The market is currently dominated by [BRAND] (sub-Q), [BRAND] (sub-Q) and [BRAND] (IV).
In the 2nd half of [YEAR] [CLIENT_ORG] launched [BRAND_A] (IV) for adults with moderate to severe rheumatoid arthritis taken with methotrexate. Since launch approximat</t>
        </is>
      </c>
      <c r="B8" s="18" t="inlineStr">
        <is>
          <t>Gold|Silver|Bronze|Core|Optional</t>
        </is>
      </c>
      <c r="C8" s="18" t="inlineStr">
        <is>
          <t>Physicians (Specialists)</t>
        </is>
      </c>
      <c r="D8" s="15" t="inlineStr">
        <is>
          <t>N=100</t>
        </is>
      </c>
      <c r="E8" s="15" t="inlineStr">
        <is>
          <t>Specialists</t>
        </is>
      </c>
      <c r="F8" s="15" t="inlineStr">
        <is>
          <t>Per RFP scope</t>
        </is>
      </c>
      <c r="G8" s="18" t="inlineStr">
        <is>
          <t>Panel|Client List|Free-Find|Mixed</t>
        </is>
      </c>
      <c r="H8" s="15" t="inlineStr">
        <is>
          <t>30 min</t>
        </is>
      </c>
      <c r="I8" s="15" t="inlineStr">
        <is>
          <t>Local language</t>
        </is>
      </c>
    </row>
    <row r="9">
      <c r="A9" s="15" t="inlineStr">
        <is>
          <t>The biologic market to treat Rheumatoid Arthritis is very crowded and competitive. There are two traditional ways that biologic medications are delivered: (Self-Administered) Sub-Q injection, and (Healthcare Professional Administered) Infusion. The market is currently dominated by [BRAND] (sub-Q), [BRAND] (sub-Q) and [BRAND] (IV).
In the 2nd half of [YEAR] [CLIENT_ORG] launched [BRAND_A] (IV) for adults with moderate to severe rheumatoid arthritis taken with methotrexate. Since launch approximat</t>
        </is>
      </c>
      <c r="B9" s="18" t="inlineStr">
        <is>
          <t>Gold|Silver|Bronze|Core|Optional</t>
        </is>
      </c>
      <c r="C9" s="18" t="inlineStr">
        <is>
          <t>Physicians (Specialists)</t>
        </is>
      </c>
      <c r="D9" s="15" t="inlineStr">
        <is>
          <t>N=100</t>
        </is>
      </c>
      <c r="E9" s="15" t="inlineStr">
        <is>
          <t>Specialists</t>
        </is>
      </c>
      <c r="F9" s="15" t="inlineStr">
        <is>
          <t>Per RFP scope</t>
        </is>
      </c>
      <c r="G9" s="18" t="inlineStr">
        <is>
          <t>Panel|Client List|Free-Find|Mixed</t>
        </is>
      </c>
      <c r="H9" s="15" t="inlineStr">
        <is>
          <t>30 min</t>
        </is>
      </c>
      <c r="I9" s="15" t="inlineStr">
        <is>
          <t>Local language</t>
        </is>
      </c>
    </row>
    <row r="10">
      <c r="A10" s="15" t="inlineStr">
        <is>
          <t>The biologic market to treat Rheumatoid Arthritis is very crowded and competitive. There are two traditional ways that biologic medications are delivered: (Self-Administered) Sub-Q injection, and (Healthcare Professional Administered) Infusion. The market is currently dominated by [BRAND] (sub-Q), [BRAND] (sub-Q) and [BRAND] (IV).
In the 2nd half of [YEAR] [CLIENT_ORG] launched [BRAND_A] (IV) for adults with moderate to severe rheumatoid arthritis taken with methotrexate. Since launch approximat</t>
        </is>
      </c>
      <c r="B10" s="18" t="inlineStr">
        <is>
          <t>Gold|Silver|Bronze|Core|Optional</t>
        </is>
      </c>
      <c r="C10" s="18" t="inlineStr">
        <is>
          <t>Physicians (Specialists)</t>
        </is>
      </c>
      <c r="D10" s="15" t="inlineStr">
        <is>
          <t>N=100</t>
        </is>
      </c>
      <c r="E10" s="15" t="inlineStr">
        <is>
          <t>Specialists</t>
        </is>
      </c>
      <c r="F10" s="15" t="inlineStr">
        <is>
          <t>Per RFP scope</t>
        </is>
      </c>
      <c r="G10" s="18" t="inlineStr">
        <is>
          <t>Panel|Client List|Free-Find|Mixed</t>
        </is>
      </c>
      <c r="H10" s="15" t="inlineStr">
        <is>
          <t>30 min</t>
        </is>
      </c>
      <c r="I10" s="15" t="inlineStr">
        <is>
          <t>Local language</t>
        </is>
      </c>
    </row>
    <row r="11">
      <c r="A11" s="15" t="inlineStr">
        <is>
          <t>The biologic market to treat Rheumatoid Arthritis is very crowded and competitive. There are two traditional ways that biologic medications are delivered: (Self-Administered) Sub-Q injection, and (Healthcare Professional Administered) Infusion. The market is currently dominated by [BRAND] (sub-Q), [BRAND] (sub-Q) and [BRAND] (IV).
In the 2nd half of [YEAR] [CLIENT_ORG] launched [BRAND_A] (IV) for adults with moderate to severe rheumatoid arthritis taken with methotrexate. Since launch approximat</t>
        </is>
      </c>
      <c r="B11" s="18" t="inlineStr">
        <is>
          <t>Gold|Silver|Bronze|Core|Optional</t>
        </is>
      </c>
      <c r="C11" s="18" t="inlineStr">
        <is>
          <t>Physicians (Specialists)</t>
        </is>
      </c>
      <c r="D11" s="15" t="inlineStr">
        <is>
          <t>N=100</t>
        </is>
      </c>
      <c r="E11" s="15" t="inlineStr">
        <is>
          <t>Specialists</t>
        </is>
      </c>
      <c r="F11" s="15" t="inlineStr">
        <is>
          <t>Per RFP scope</t>
        </is>
      </c>
      <c r="G11" s="18" t="inlineStr">
        <is>
          <t>Panel|Client List|Free-Find|Mixed</t>
        </is>
      </c>
      <c r="H11" s="15" t="inlineStr">
        <is>
          <t>30 min</t>
        </is>
      </c>
      <c r="I11" s="15" t="inlineStr">
        <is>
          <t>Local language</t>
        </is>
      </c>
    </row>
    <row r="12">
      <c r="A12" s="15" t="inlineStr">
        <is>
          <t>The biologic market to treat Rheumatoid Arthritis is very crowded and competitive. There are two traditional ways that biologic medications are delivered: (Self-Administered) Sub-Q injection, and (Healthcare Professional Administered) Infusion. The market is currently dominated by [BRAND] (sub-Q), [BRAND] (sub-Q) and [BRAND] (IV).
In the 2nd half of [YEAR] [CLIENT_ORG] launched [BRAND_A] (IV) for adults with moderate to severe rheumatoid arthritis taken with methotrexate. Since launch approximat</t>
        </is>
      </c>
      <c r="B12" s="18" t="inlineStr">
        <is>
          <t>Gold|Silver|Bronze|Core|Optional</t>
        </is>
      </c>
      <c r="C12" s="18" t="inlineStr">
        <is>
          <t>Physicians (Specialists)</t>
        </is>
      </c>
      <c r="D12" s="15" t="inlineStr">
        <is>
          <t>N=100</t>
        </is>
      </c>
      <c r="E12" s="15" t="inlineStr">
        <is>
          <t>Specialists</t>
        </is>
      </c>
      <c r="F12" s="15" t="inlineStr">
        <is>
          <t>Per RFP scope</t>
        </is>
      </c>
      <c r="G12" s="18" t="inlineStr">
        <is>
          <t>Panel|Client List|Free-Find|Mixed</t>
        </is>
      </c>
      <c r="H12" s="15" t="inlineStr">
        <is>
          <t>30 min</t>
        </is>
      </c>
      <c r="I12" s="15" t="inlineStr">
        <is>
          <t>Local language</t>
        </is>
      </c>
    </row>
    <row r="13">
      <c r="A13" s="15" t="inlineStr">
        <is>
          <t>The biologic market to treat Rheumatoid Arthritis is very crowded and competitive. There are two traditional ways that biologic medications are delivered: (Self-Administered) Sub-Q injection, and (Healthcare Professional Administered) Infusion. The market is currently dominated by [BRAND] (sub-Q), [BRAND] (sub-Q) and [BRAND] (IV).
In the 2nd half of [YEAR] [CLIENT_ORG] launched [BRAND_A] (IV) for adults with moderate to severe rheumatoid arthritis taken with methotrexate. Since launch approximat</t>
        </is>
      </c>
      <c r="B13" s="18" t="inlineStr">
        <is>
          <t>Gold|Silver|Bronze|Core|Optional</t>
        </is>
      </c>
      <c r="C13" s="18" t="inlineStr">
        <is>
          <t>Physicians (Specialists)</t>
        </is>
      </c>
      <c r="D13" s="15" t="inlineStr">
        <is>
          <t>N=100</t>
        </is>
      </c>
      <c r="E13" s="15" t="inlineStr">
        <is>
          <t>Specialists</t>
        </is>
      </c>
      <c r="F13" s="15" t="inlineStr">
        <is>
          <t>Per RFP scope</t>
        </is>
      </c>
      <c r="G13" s="18" t="inlineStr">
        <is>
          <t>Panel|Client List|Free-Find|Mixed</t>
        </is>
      </c>
      <c r="H13" s="15" t="inlineStr">
        <is>
          <t>30 min</t>
        </is>
      </c>
      <c r="I13" s="15" t="inlineStr">
        <is>
          <t>Local language</t>
        </is>
      </c>
    </row>
    <row r="15">
      <c r="A15" s="17" t="inlineStr">
        <is>
          <t>EXAMPLE (from RFP-A1): Gold tier: "Reco KPIs every quarter + annual trust + annual salesforce measurement" | Silver: "Reco KPIs annually + annual trust + annual salesforce" | Bronze: "Reco KPIs only, annually"</t>
        </is>
      </c>
      <c r="B15" s="26" t="n"/>
      <c r="C15" s="26" t="n"/>
      <c r="D15" s="26" t="n"/>
      <c r="E15" s="26" t="n"/>
      <c r="F15" s="26" t="n"/>
      <c r="G15" s="26" t="n"/>
      <c r="H15" s="26" t="n"/>
      <c r="I15" s="27" t="n"/>
    </row>
    <row r="16">
      <c r="A16" s="17" t="inlineStr">
        <is>
          <t>EXAMPLE (from RFP-A12): Japan — DPC Hospital, Non-DPC Hospital, Clinics | Modalities: CT, MR, SPECT/CT, PET/CT, Mammography, X-ray, Ultrasound, C-Arms. Korea — same modalities. EU — CT, MR, PET/CT, Mammography, X-ray, Ultrasound, Hybrid OR, Cath Lab.</t>
        </is>
      </c>
      <c r="B16" s="26" t="n"/>
      <c r="C16" s="26" t="n"/>
      <c r="D16" s="26" t="n"/>
      <c r="E16" s="26" t="n"/>
      <c r="F16" s="26" t="n"/>
      <c r="G16" s="26" t="n"/>
      <c r="H16" s="26" t="n"/>
      <c r="I16" s="27" t="n"/>
    </row>
  </sheetData>
  <mergeCells count="4">
    <mergeCell ref="A1:I1"/>
    <mergeCell ref="A2:I2"/>
    <mergeCell ref="A16:I16"/>
    <mergeCell ref="A15:I15"/>
  </mergeCells>
  <pageMargins left="0.75" right="0.75" top="1" bottom="1" header="0.5" footer="0.5"/>
</worksheet>
</file>

<file path=xl/worksheets/sheet5.xml><?xml version="1.0" encoding="utf-8"?>
<worksheet xmlns="http://schemas.openxmlformats.org/spreadsheetml/2006/main">
  <sheetPr>
    <tabColor rgb="007C3AED"/>
    <outlinePr summaryBelow="1" summaryRight="1"/>
    <pageSetUpPr/>
  </sheetPr>
  <dimension ref="A1:E63"/>
  <sheetViews>
    <sheetView workbookViewId="0">
      <selection activeCell="A1" sqref="A1"/>
    </sheetView>
  </sheetViews>
  <sheetFormatPr baseColWidth="8" defaultRowHeight="15"/>
  <cols>
    <col width="8" customWidth="1" min="1" max="1"/>
    <col width="55" customWidth="1" min="2" max="2"/>
    <col width="50" customWidth="1" min="3" max="3"/>
    <col width="20" customWidth="1" min="4" max="4"/>
    <col width="25" customWidth="1" min="5" max="5"/>
  </cols>
  <sheetData>
    <row r="1">
      <c r="A1" s="2" t="inlineStr">
        <is>
          <t>VENDOR CAPABILITIES &amp; QUALIFICATIONS ASSESSMENT</t>
        </is>
      </c>
    </row>
    <row r="2">
      <c r="A2" s="19" t="inlineStr">
        <is>
          <t>Vendor self-assessment and qualification questions. Based on RFP-A3 (EU Supplier Q&amp;A format) and RFP-A4 (Global Qual Studies multi-section assessment). Complete all applicable sections.</t>
        </is>
      </c>
      <c r="B2" s="26" t="n"/>
      <c r="C2" s="26" t="n"/>
      <c r="D2" s="26" t="n"/>
      <c r="E2" s="27" t="n"/>
    </row>
    <row r="4">
      <c r="A4" s="11" t="inlineStr">
        <is>
          <t>A</t>
        </is>
      </c>
      <c r="B4" s="11" t="inlineStr">
        <is>
          <t>A. FIRM DETAILS</t>
        </is>
      </c>
      <c r="C4" s="11" t="inlineStr"/>
      <c r="D4" s="11" t="inlineStr"/>
      <c r="E4" s="11" t="inlineStr"/>
    </row>
    <row r="5">
      <c r="A5" s="14" t="inlineStr">
        <is>
          <t>A1</t>
        </is>
      </c>
      <c r="B5" s="14" t="inlineStr">
        <is>
          <t>Company name:</t>
        </is>
      </c>
      <c r="C5" s="15" t="inlineStr">
        <is>
          <t>Acme Research Partners</t>
        </is>
      </c>
      <c r="D5" s="14" t="inlineStr"/>
      <c r="E5" s="14" t="inlineStr"/>
    </row>
    <row r="6">
      <c r="A6" s="14" t="inlineStr">
        <is>
          <t>A2</t>
        </is>
      </c>
      <c r="B6" s="14" t="inlineStr">
        <is>
          <t>Company address (street, city, state, zip):</t>
        </is>
      </c>
      <c r="C6" s="15" t="inlineStr">
        <is>
          <t>123 Market Street, Suite 400, New York, NY 10001</t>
        </is>
      </c>
      <c r="D6" s="14" t="inlineStr"/>
      <c r="E6" s="14" t="inlineStr"/>
    </row>
    <row r="7">
      <c r="A7" s="14" t="inlineStr">
        <is>
          <t>A3</t>
        </is>
      </c>
      <c r="B7" s="14" t="inlineStr">
        <is>
          <t>Primary contact name:</t>
        </is>
      </c>
      <c r="C7" s="15" t="inlineStr">
        <is>
          <t>Jane Smith</t>
        </is>
      </c>
      <c r="D7" s="14" t="inlineStr"/>
      <c r="E7" s="14" t="inlineStr"/>
    </row>
    <row r="8">
      <c r="A8" s="14" t="inlineStr">
        <is>
          <t>A4</t>
        </is>
      </c>
      <c r="B8" s="14" t="inlineStr">
        <is>
          <t>Primary contact phone:</t>
        </is>
      </c>
      <c r="C8" s="15" t="inlineStr">
        <is>
          <t>+1 (212) 555-0100</t>
        </is>
      </c>
      <c r="D8" s="14" t="inlineStr"/>
      <c r="E8" s="14" t="inlineStr"/>
    </row>
    <row r="9">
      <c r="A9" s="14" t="inlineStr">
        <is>
          <t>A5</t>
        </is>
      </c>
      <c r="B9" s="14" t="inlineStr">
        <is>
          <t>Primary contact email:</t>
        </is>
      </c>
      <c r="C9" s="15" t="inlineStr">
        <is>
          <t>jsmith@acmeresearch.com</t>
        </is>
      </c>
      <c r="D9" s="14" t="inlineStr"/>
      <c r="E9" s="14" t="inlineStr"/>
    </row>
    <row r="10">
      <c r="A10" s="14" t="inlineStr">
        <is>
          <t>A6</t>
        </is>
      </c>
      <c r="B10" s="14" t="inlineStr">
        <is>
          <t>Years in service:</t>
        </is>
      </c>
      <c r="C10" s="15" t="inlineStr">
        <is>
          <t>15 years</t>
        </is>
      </c>
      <c r="D10" s="14" t="inlineStr"/>
      <c r="E10" s="14" t="inlineStr"/>
    </row>
    <row r="11">
      <c r="A11" s="14" t="inlineStr">
        <is>
          <t>A7</t>
        </is>
      </c>
      <c r="B11" s="14" t="inlineStr">
        <is>
          <t>Top 3 clients in consumer healthcare / pharma:</t>
        </is>
      </c>
      <c r="C11" s="15" t="inlineStr">
        <is>
          <t>Top 3 global pharma companies</t>
        </is>
      </c>
      <c r="D11" s="14" t="inlineStr"/>
      <c r="E11" s="14" t="inlineStr"/>
    </row>
    <row r="12">
      <c r="A12" s="14" t="inlineStr">
        <is>
          <t>A8</t>
        </is>
      </c>
      <c r="B12" s="14" t="inlineStr">
        <is>
          <t>Existing agreements with issuing organization?</t>
        </is>
      </c>
      <c r="C12" s="18" t="inlineStr">
        <is>
          <t>Yes | No</t>
        </is>
      </c>
      <c r="D12" s="14" t="inlineStr">
        <is>
          <t>If Yes, describe:</t>
        </is>
      </c>
      <c r="E12" s="15" t="inlineStr">
        <is>
          <t>Master Services Agreement signed 2023</t>
        </is>
      </c>
    </row>
    <row r="13">
      <c r="A13" s="14" t="inlineStr">
        <is>
          <t>A9</t>
        </is>
      </c>
      <c r="B13" s="14" t="inlineStr">
        <is>
          <t>Minority/Women/Veteran-Owned Business?</t>
        </is>
      </c>
      <c r="C13" s="18" t="inlineStr">
        <is>
          <t>Yes—MBE | Yes—WBE | Yes—VBE | No</t>
        </is>
      </c>
      <c r="D13" s="14" t="inlineStr"/>
      <c r="E13" s="14" t="inlineStr"/>
    </row>
    <row r="14">
      <c r="A14" s="14" t="inlineStr">
        <is>
          <t>A10</t>
        </is>
      </c>
      <c r="B14" s="14" t="inlineStr">
        <is>
          <t>Adverse event reporting agreement?</t>
        </is>
      </c>
      <c r="C14" s="18" t="inlineStr">
        <is>
          <t>Yes | No</t>
        </is>
      </c>
      <c r="D14" s="14" t="inlineStr"/>
      <c r="E14" s="14" t="inlineStr"/>
    </row>
    <row r="15">
      <c r="A15" s="14" t="inlineStr"/>
      <c r="B15" s="14" t="inlineStr"/>
      <c r="C15" s="14" t="inlineStr"/>
      <c r="D15" s="14" t="inlineStr"/>
      <c r="E15" s="14" t="inlineStr"/>
    </row>
    <row r="16">
      <c r="A16" s="11" t="inlineStr">
        <is>
          <t>B</t>
        </is>
      </c>
      <c r="B16" s="11" t="inlineStr">
        <is>
          <t>B. GENERAL CAPABILITIES</t>
        </is>
      </c>
      <c r="C16" s="11" t="inlineStr"/>
      <c r="D16" s="11" t="inlineStr"/>
      <c r="E16" s="11" t="inlineStr"/>
    </row>
    <row r="17">
      <c r="A17" s="21" t="inlineStr"/>
      <c r="B17" s="21" t="inlineStr">
        <is>
          <t>Research Type</t>
        </is>
      </c>
      <c r="C17" s="21" t="inlineStr">
        <is>
          <t>Off-the-shelf Systems/Tools</t>
        </is>
      </c>
      <c r="D17" s="21" t="inlineStr">
        <is>
          <t>Industry-Leading Techniques</t>
        </is>
      </c>
      <c r="E17" s="21" t="inlineStr">
        <is>
          <t>Emerging Innovations</t>
        </is>
      </c>
    </row>
    <row r="18">
      <c r="A18" s="14" t="inlineStr">
        <is>
          <t>B1</t>
        </is>
      </c>
      <c r="B18" s="14" t="inlineStr">
        <is>
          <t>Shopper Research</t>
        </is>
      </c>
      <c r="C18" s="15" t="inlineStr">
        <is>
          <t>Proprietary MaxDiff tool</t>
        </is>
      </c>
      <c r="D18" s="15" t="inlineStr">
        <is>
          <t>Adaptive conjoint with HB estimation</t>
        </is>
      </c>
      <c r="E18" s="15" t="inlineStr">
        <is>
          <t>AI-powered qual coding</t>
        </is>
      </c>
    </row>
    <row r="19">
      <c r="A19" s="14" t="inlineStr">
        <is>
          <t>B2</t>
        </is>
      </c>
      <c r="B19" s="14" t="inlineStr">
        <is>
          <t>Segmentation</t>
        </is>
      </c>
      <c r="C19" s="15" t="inlineStr">
        <is>
          <t>Proprietary MaxDiff tool</t>
        </is>
      </c>
      <c r="D19" s="15" t="inlineStr">
        <is>
          <t>Adaptive conjoint with HB estimation</t>
        </is>
      </c>
      <c r="E19" s="15" t="inlineStr">
        <is>
          <t>AI-powered qual coding</t>
        </is>
      </c>
    </row>
    <row r="20">
      <c r="A20" s="14" t="inlineStr">
        <is>
          <t>B3</t>
        </is>
      </c>
      <c r="B20" s="14" t="inlineStr">
        <is>
          <t>U&amp;A</t>
        </is>
      </c>
      <c r="C20" s="15" t="inlineStr">
        <is>
          <t>Proprietary MaxDiff tool</t>
        </is>
      </c>
      <c r="D20" s="15" t="inlineStr">
        <is>
          <t>Adaptive conjoint with HB estimation</t>
        </is>
      </c>
      <c r="E20" s="15" t="inlineStr">
        <is>
          <t>AI-powered qual coding</t>
        </is>
      </c>
    </row>
    <row r="21">
      <c r="A21" s="14" t="inlineStr">
        <is>
          <t>B4</t>
        </is>
      </c>
      <c r="B21" s="14" t="inlineStr">
        <is>
          <t>Brand/Ad Tracking</t>
        </is>
      </c>
      <c r="C21" s="15" t="inlineStr">
        <is>
          <t>Proprietary MaxDiff tool</t>
        </is>
      </c>
      <c r="D21" s="15" t="inlineStr">
        <is>
          <t>Adaptive conjoint with HB estimation</t>
        </is>
      </c>
      <c r="E21" s="15" t="inlineStr">
        <is>
          <t>AI-powered qual coding</t>
        </is>
      </c>
    </row>
    <row r="22">
      <c r="A22" s="14" t="inlineStr">
        <is>
          <t>B5</t>
        </is>
      </c>
      <c r="B22" s="14" t="inlineStr">
        <is>
          <t>Packaging</t>
        </is>
      </c>
      <c r="C22" s="15" t="inlineStr">
        <is>
          <t>Proprietary MaxDiff tool</t>
        </is>
      </c>
      <c r="D22" s="15" t="inlineStr">
        <is>
          <t>Adaptive conjoint with HB estimation</t>
        </is>
      </c>
      <c r="E22" s="15" t="inlineStr">
        <is>
          <t>AI-powered qual coding</t>
        </is>
      </c>
    </row>
    <row r="23">
      <c r="A23" s="14" t="inlineStr">
        <is>
          <t>B6</t>
        </is>
      </c>
      <c r="B23" s="14" t="inlineStr">
        <is>
          <t>Qualitative</t>
        </is>
      </c>
      <c r="C23" s="15" t="inlineStr">
        <is>
          <t>Proprietary MaxDiff tool</t>
        </is>
      </c>
      <c r="D23" s="15" t="inlineStr">
        <is>
          <t>Adaptive conjoint with HB estimation</t>
        </is>
      </c>
      <c r="E23" s="15" t="inlineStr">
        <is>
          <t>AI-powered qual coding</t>
        </is>
      </c>
    </row>
    <row r="24">
      <c r="A24" s="14" t="inlineStr">
        <is>
          <t>B7</t>
        </is>
      </c>
      <c r="B24" s="14" t="inlineStr">
        <is>
          <t>Volumetric</t>
        </is>
      </c>
      <c r="C24" s="15" t="inlineStr">
        <is>
          <t>Proprietary MaxDiff tool</t>
        </is>
      </c>
      <c r="D24" s="15" t="inlineStr">
        <is>
          <t>Adaptive conjoint with HB estimation</t>
        </is>
      </c>
      <c r="E24" s="15" t="inlineStr">
        <is>
          <t>AI-powered qual coding</t>
        </is>
      </c>
    </row>
    <row r="25">
      <c r="A25" s="14" t="inlineStr">
        <is>
          <t>B8</t>
        </is>
      </c>
      <c r="B25" s="14" t="inlineStr">
        <is>
          <t>Claims Testing</t>
        </is>
      </c>
      <c r="C25" s="15" t="inlineStr">
        <is>
          <t>Proprietary MaxDiff tool</t>
        </is>
      </c>
      <c r="D25" s="15" t="inlineStr">
        <is>
          <t>Adaptive conjoint with HB estimation</t>
        </is>
      </c>
      <c r="E25" s="15" t="inlineStr">
        <is>
          <t>AI-powered qual coding</t>
        </is>
      </c>
    </row>
    <row r="26">
      <c r="A26" s="14" t="inlineStr">
        <is>
          <t>B9</t>
        </is>
      </c>
      <c r="B26" s="14" t="inlineStr">
        <is>
          <t>Expert Research</t>
        </is>
      </c>
      <c r="C26" s="15" t="inlineStr">
        <is>
          <t>Proprietary MaxDiff tool</t>
        </is>
      </c>
      <c r="D26" s="15" t="inlineStr">
        <is>
          <t>Adaptive conjoint with HB estimation</t>
        </is>
      </c>
      <c r="E26" s="15" t="inlineStr">
        <is>
          <t>AI-powered qual coding</t>
        </is>
      </c>
    </row>
    <row r="27">
      <c r="A27" s="14" t="inlineStr">
        <is>
          <t>B10</t>
        </is>
      </c>
      <c r="B27" s="14" t="inlineStr">
        <is>
          <t>Concept Testing</t>
        </is>
      </c>
      <c r="C27" s="15" t="inlineStr">
        <is>
          <t>Proprietary MaxDiff tool</t>
        </is>
      </c>
      <c r="D27" s="15" t="inlineStr">
        <is>
          <t>Adaptive conjoint with HB estimation</t>
        </is>
      </c>
      <c r="E27" s="15" t="inlineStr">
        <is>
          <t>AI-powered qual coding</t>
        </is>
      </c>
    </row>
    <row r="28">
      <c r="A28" s="14" t="inlineStr">
        <is>
          <t>B11</t>
        </is>
      </c>
      <c r="B28" s="14" t="inlineStr">
        <is>
          <t>Ad Testing</t>
        </is>
      </c>
      <c r="C28" s="15" t="inlineStr">
        <is>
          <t>Proprietary MaxDiff tool</t>
        </is>
      </c>
      <c r="D28" s="15" t="inlineStr">
        <is>
          <t>Adaptive conjoint with HB estimation</t>
        </is>
      </c>
      <c r="E28" s="15" t="inlineStr">
        <is>
          <t>AI-powered qual coding</t>
        </is>
      </c>
    </row>
    <row r="29">
      <c r="A29" s="14" t="inlineStr">
        <is>
          <t>B12</t>
        </is>
      </c>
      <c r="B29" s="14" t="inlineStr">
        <is>
          <t>Campaign Development (Pharma)</t>
        </is>
      </c>
      <c r="C29" s="15" t="inlineStr">
        <is>
          <t>Proprietary MaxDiff tool</t>
        </is>
      </c>
      <c r="D29" s="15" t="inlineStr">
        <is>
          <t>Adaptive conjoint with HB estimation</t>
        </is>
      </c>
      <c r="E29" s="15" t="inlineStr">
        <is>
          <t>AI-powered qual coding</t>
        </is>
      </c>
    </row>
    <row r="30">
      <c r="A30" s="14" t="inlineStr">
        <is>
          <t>B13</t>
        </is>
      </c>
      <c r="B30" s="14" t="inlineStr">
        <is>
          <t>Exploratory Research (Pharma)</t>
        </is>
      </c>
      <c r="C30" s="15" t="inlineStr">
        <is>
          <t>Proprietary MaxDiff tool</t>
        </is>
      </c>
      <c r="D30" s="15" t="inlineStr">
        <is>
          <t>Adaptive conjoint with HB estimation</t>
        </is>
      </c>
      <c r="E30" s="15" t="inlineStr">
        <is>
          <t>AI-powered qual coding</t>
        </is>
      </c>
    </row>
    <row r="31">
      <c r="A31" s="14" t="inlineStr">
        <is>
          <t>B14</t>
        </is>
      </c>
      <c r="B31" s="14" t="inlineStr">
        <is>
          <t>Market Sizing (Pharma)</t>
        </is>
      </c>
      <c r="C31" s="15" t="inlineStr">
        <is>
          <t>Proprietary MaxDiff tool</t>
        </is>
      </c>
      <c r="D31" s="15" t="inlineStr">
        <is>
          <t>Adaptive conjoint with HB estimation</t>
        </is>
      </c>
      <c r="E31" s="15" t="inlineStr">
        <is>
          <t>AI-powered qual coding</t>
        </is>
      </c>
    </row>
    <row r="32">
      <c r="A32" s="14" t="inlineStr">
        <is>
          <t>B15</t>
        </is>
      </c>
      <c r="B32" s="14" t="inlineStr">
        <is>
          <t>Message Recall / Call Quality (Pharma)</t>
        </is>
      </c>
      <c r="C32" s="15" t="inlineStr">
        <is>
          <t>Proprietary MaxDiff tool</t>
        </is>
      </c>
      <c r="D32" s="15" t="inlineStr">
        <is>
          <t>Adaptive conjoint with HB estimation</t>
        </is>
      </c>
      <c r="E32" s="15" t="inlineStr">
        <is>
          <t>AI-powered qual coding</t>
        </is>
      </c>
    </row>
    <row r="33">
      <c r="A33" s="14" t="inlineStr">
        <is>
          <t>B16</t>
        </is>
      </c>
      <c r="B33" s="14" t="inlineStr">
        <is>
          <t>Tracking (Pharma)</t>
        </is>
      </c>
      <c r="C33" s="15" t="inlineStr">
        <is>
          <t>Proprietary MaxDiff tool</t>
        </is>
      </c>
      <c r="D33" s="15" t="inlineStr">
        <is>
          <t>Adaptive conjoint with HB estimation</t>
        </is>
      </c>
      <c r="E33" s="15" t="inlineStr">
        <is>
          <t>AI-powered qual coding</t>
        </is>
      </c>
    </row>
    <row r="34">
      <c r="A34" s="14" t="inlineStr"/>
      <c r="B34" s="14" t="inlineStr"/>
      <c r="C34" s="14" t="inlineStr"/>
      <c r="D34" s="14" t="inlineStr"/>
      <c r="E34" s="14" t="inlineStr"/>
    </row>
    <row r="35">
      <c r="A35" s="11" t="inlineStr">
        <is>
          <t>C</t>
        </is>
      </c>
      <c r="B35" s="11" t="inlineStr">
        <is>
          <t>C. STAFF CAPABILITIES</t>
        </is>
      </c>
      <c r="C35" s="11" t="inlineStr"/>
      <c r="D35" s="11" t="inlineStr"/>
      <c r="E35" s="11" t="inlineStr"/>
    </row>
    <row r="36">
      <c r="A36" s="21" t="inlineStr"/>
      <c r="B36" s="21" t="inlineStr">
        <is>
          <t>Role</t>
        </is>
      </c>
      <c r="C36" s="21" t="inlineStr">
        <is>
          <t>Avg Years Experience (Consumer HC)</t>
        </is>
      </c>
      <c r="D36" s="21" t="inlineStr">
        <is>
          <t>Avg Years Experience (Pharma)</t>
        </is>
      </c>
      <c r="E36" s="21" t="inlineStr">
        <is>
          <t># FTEs</t>
        </is>
      </c>
    </row>
    <row r="37">
      <c r="A37" s="14" t="inlineStr">
        <is>
          <t>C1</t>
        </is>
      </c>
      <c r="B37" s="14" t="inlineStr">
        <is>
          <t>Account Executive</t>
        </is>
      </c>
      <c r="C37" s="15" t="inlineStr">
        <is>
          <t>12</t>
        </is>
      </c>
      <c r="D37" s="15" t="inlineStr">
        <is>
          <t>10</t>
        </is>
      </c>
      <c r="E37" s="15" t="inlineStr">
        <is>
          <t>3</t>
        </is>
      </c>
    </row>
    <row r="38">
      <c r="A38" s="14" t="inlineStr">
        <is>
          <t>C2</t>
        </is>
      </c>
      <c r="B38" s="14" t="inlineStr">
        <is>
          <t>Account Representative</t>
        </is>
      </c>
      <c r="C38" s="15" t="inlineStr">
        <is>
          <t>8</t>
        </is>
      </c>
      <c r="D38" s="15" t="inlineStr">
        <is>
          <t>6</t>
        </is>
      </c>
      <c r="E38" s="15" t="inlineStr">
        <is>
          <t>2</t>
        </is>
      </c>
    </row>
    <row r="39">
      <c r="A39" s="14" t="inlineStr">
        <is>
          <t>C3</t>
        </is>
      </c>
      <c r="B39" s="14" t="inlineStr">
        <is>
          <t>Project Manager</t>
        </is>
      </c>
      <c r="C39" s="15" t="inlineStr">
        <is>
          <t>5</t>
        </is>
      </c>
      <c r="D39" s="15" t="inlineStr">
        <is>
          <t>4</t>
        </is>
      </c>
      <c r="E39" s="15" t="inlineStr">
        <is>
          <t>1</t>
        </is>
      </c>
    </row>
    <row r="40">
      <c r="A40" s="14" t="inlineStr">
        <is>
          <t>C4</t>
        </is>
      </c>
      <c r="B40" s="14" t="inlineStr">
        <is>
          <t>Field Team Director</t>
        </is>
      </c>
      <c r="C40" s="15" t="inlineStr">
        <is>
          <t>15</t>
        </is>
      </c>
      <c r="D40" s="15" t="inlineStr">
        <is>
          <t>12</t>
        </is>
      </c>
      <c r="E40" s="15" t="inlineStr">
        <is>
          <t>4</t>
        </is>
      </c>
    </row>
    <row r="41">
      <c r="A41" s="14" t="inlineStr">
        <is>
          <t>C5</t>
        </is>
      </c>
      <c r="B41" s="14" t="inlineStr">
        <is>
          <t>Field Team Member</t>
        </is>
      </c>
      <c r="C41" s="15" t="inlineStr">
        <is>
          <t>6</t>
        </is>
      </c>
      <c r="D41" s="15" t="inlineStr">
        <is>
          <t>5</t>
        </is>
      </c>
      <c r="E41" s="15" t="inlineStr">
        <is>
          <t>2</t>
        </is>
      </c>
    </row>
    <row r="42">
      <c r="A42" s="14" t="inlineStr">
        <is>
          <t>C6</t>
        </is>
      </c>
      <c r="B42" s="14" t="inlineStr">
        <is>
          <t>Research Director</t>
        </is>
      </c>
      <c r="C42" s="15" t="inlineStr">
        <is>
          <t>4</t>
        </is>
      </c>
      <c r="D42" s="15" t="inlineStr">
        <is>
          <t>3</t>
        </is>
      </c>
      <c r="E42" s="15" t="inlineStr">
        <is>
          <t>1</t>
        </is>
      </c>
    </row>
    <row r="43">
      <c r="A43" s="14" t="inlineStr">
        <is>
          <t>C7</t>
        </is>
      </c>
      <c r="B43" s="14" t="inlineStr">
        <is>
          <t>Research Analyst</t>
        </is>
      </c>
      <c r="C43" s="15" t="inlineStr">
        <is>
          <t>3</t>
        </is>
      </c>
      <c r="D43" s="15" t="inlineStr">
        <is>
          <t>2</t>
        </is>
      </c>
      <c r="E43" s="15" t="inlineStr">
        <is>
          <t>1</t>
        </is>
      </c>
    </row>
    <row r="44">
      <c r="A44" s="14" t="inlineStr"/>
      <c r="B44" s="14" t="inlineStr"/>
      <c r="C44" s="14" t="inlineStr"/>
      <c r="D44" s="14" t="inlineStr"/>
      <c r="E44" s="14" t="inlineStr"/>
    </row>
    <row r="45">
      <c r="A45" s="11" t="inlineStr">
        <is>
          <t>D</t>
        </is>
      </c>
      <c r="B45" s="11" t="inlineStr">
        <is>
          <t>D. LOCATION CAPABILITIES</t>
        </is>
      </c>
      <c r="C45" s="11" t="inlineStr"/>
      <c r="D45" s="11" t="inlineStr"/>
      <c r="E45" s="11" t="inlineStr"/>
    </row>
    <row r="46">
      <c r="A46" s="21" t="inlineStr"/>
      <c r="B46" s="21" t="inlineStr">
        <is>
          <t>Office Location (City, Country)</t>
        </is>
      </c>
      <c r="C46" s="21" t="inlineStr">
        <is>
          <t>Business Supported</t>
        </is>
      </c>
      <c r="D46" s="21" t="inlineStr">
        <is>
          <t># FTEs</t>
        </is>
      </c>
      <c r="E46" s="21" t="inlineStr">
        <is>
          <t>Countries Supported</t>
        </is>
      </c>
    </row>
    <row r="47">
      <c r="A47" s="14" t="inlineStr">
        <is>
          <t>D1</t>
        </is>
      </c>
      <c r="B47" s="15" t="inlineStr">
        <is>
          <t>New York, US</t>
        </is>
      </c>
      <c r="C47" s="18" t="inlineStr">
        <is>
          <t>Consumer HC | Pharma | Both</t>
        </is>
      </c>
      <c r="D47" s="15" t="inlineStr">
        <is>
          <t>25</t>
        </is>
      </c>
      <c r="E47" s="15" t="inlineStr">
        <is>
          <t>US, Canada, Mexico</t>
        </is>
      </c>
    </row>
    <row r="48">
      <c r="A48" s="14" t="inlineStr">
        <is>
          <t>D2</t>
        </is>
      </c>
      <c r="B48" s="15" t="inlineStr">
        <is>
          <t>London, UK</t>
        </is>
      </c>
      <c r="C48" s="18" t="inlineStr">
        <is>
          <t>Consumer HC | Pharma | Both</t>
        </is>
      </c>
      <c r="D48" s="15" t="inlineStr">
        <is>
          <t>18</t>
        </is>
      </c>
      <c r="E48" s="15" t="inlineStr">
        <is>
          <t>UK, France, Germany, Spain, Italy</t>
        </is>
      </c>
    </row>
    <row r="49">
      <c r="A49" s="14" t="inlineStr">
        <is>
          <t>D3</t>
        </is>
      </c>
      <c r="B49" s="15" t="inlineStr">
        <is>
          <t>Tokyo, Japan</t>
        </is>
      </c>
      <c r="C49" s="18" t="inlineStr">
        <is>
          <t>Consumer HC | Pharma | Both</t>
        </is>
      </c>
      <c r="D49" s="15" t="inlineStr">
        <is>
          <t>8</t>
        </is>
      </c>
      <c r="E49" s="15" t="inlineStr">
        <is>
          <t>Japan, South Korea, China</t>
        </is>
      </c>
    </row>
    <row r="50">
      <c r="A50" s="14" t="inlineStr">
        <is>
          <t>D4</t>
        </is>
      </c>
      <c r="B50" s="15" t="inlineStr">
        <is>
          <t>São Paulo, Brazil</t>
        </is>
      </c>
      <c r="C50" s="18" t="inlineStr">
        <is>
          <t>Consumer HC | Pharma | Both</t>
        </is>
      </c>
      <c r="D50" s="15" t="inlineStr">
        <is>
          <t>6</t>
        </is>
      </c>
      <c r="E50" s="15" t="inlineStr">
        <is>
          <t>Brazil, Mexico, Argentina</t>
        </is>
      </c>
    </row>
    <row r="51">
      <c r="A51" s="14" t="inlineStr">
        <is>
          <t>D5</t>
        </is>
      </c>
      <c r="B51" s="15" t="inlineStr">
        <is>
          <t>Singapore</t>
        </is>
      </c>
      <c r="C51" s="18" t="inlineStr">
        <is>
          <t>Consumer HC | Pharma | Both</t>
        </is>
      </c>
      <c r="D51" s="15" t="inlineStr">
        <is>
          <t>5</t>
        </is>
      </c>
      <c r="E51" s="15" t="inlineStr">
        <is>
          <t>Singapore, India, Australia</t>
        </is>
      </c>
    </row>
    <row r="52">
      <c r="A52" s="14" t="inlineStr"/>
      <c r="B52" s="14" t="inlineStr"/>
      <c r="C52" s="14" t="inlineStr"/>
      <c r="D52" s="14" t="inlineStr"/>
      <c r="E52" s="14" t="inlineStr"/>
    </row>
    <row r="53">
      <c r="A53" s="11" t="inlineStr">
        <is>
          <t>E</t>
        </is>
      </c>
      <c r="B53" s="11" t="inlineStr">
        <is>
          <t>E. SUBCONTRACTING</t>
        </is>
      </c>
      <c r="C53" s="11" t="inlineStr"/>
      <c r="D53" s="11" t="inlineStr"/>
      <c r="E53" s="11" t="inlineStr"/>
    </row>
    <row r="54">
      <c r="A54" s="21" t="inlineStr"/>
      <c r="B54" s="21" t="inlineStr">
        <is>
          <t>Activity</t>
        </is>
      </c>
      <c r="C54" s="21" t="inlineStr">
        <is>
          <t>Subcontracted?</t>
        </is>
      </c>
      <c r="D54" s="21" t="inlineStr">
        <is>
          <t>% Subcontracted</t>
        </is>
      </c>
      <c r="E54" s="21" t="inlineStr">
        <is>
          <t>% Markup on Pass-through</t>
        </is>
      </c>
    </row>
    <row r="55">
      <c r="A55" s="14" t="inlineStr">
        <is>
          <t>E1</t>
        </is>
      </c>
      <c r="B55" s="14" t="inlineStr">
        <is>
          <t>Project Design</t>
        </is>
      </c>
      <c r="C55" s="18" t="inlineStr">
        <is>
          <t>Yes | No</t>
        </is>
      </c>
      <c r="D55" s="15" t="inlineStr">
        <is>
          <t>0%</t>
        </is>
      </c>
      <c r="E55" s="15" t="inlineStr">
        <is>
          <t>0%</t>
        </is>
      </c>
    </row>
    <row r="56">
      <c r="A56" s="14" t="inlineStr">
        <is>
          <t>E2</t>
        </is>
      </c>
      <c r="B56" s="14" t="inlineStr">
        <is>
          <t>Questionnaire Development</t>
        </is>
      </c>
      <c r="C56" s="18" t="inlineStr">
        <is>
          <t>Yes | No</t>
        </is>
      </c>
      <c r="D56" s="15" t="inlineStr">
        <is>
          <t>0%</t>
        </is>
      </c>
      <c r="E56" s="15" t="inlineStr">
        <is>
          <t>0%</t>
        </is>
      </c>
    </row>
    <row r="57">
      <c r="A57" s="14" t="inlineStr">
        <is>
          <t>E3</t>
        </is>
      </c>
      <c r="B57" s="14" t="inlineStr">
        <is>
          <t>Questionnaire Programming</t>
        </is>
      </c>
      <c r="C57" s="18" t="inlineStr">
        <is>
          <t>Yes | No</t>
        </is>
      </c>
      <c r="D57" s="15" t="inlineStr">
        <is>
          <t>0%</t>
        </is>
      </c>
      <c r="E57" s="15" t="inlineStr">
        <is>
          <t>0%</t>
        </is>
      </c>
    </row>
    <row r="58">
      <c r="A58" s="14" t="inlineStr">
        <is>
          <t>E4</t>
        </is>
      </c>
      <c r="B58" s="14" t="inlineStr">
        <is>
          <t>Scheduling / Logistics</t>
        </is>
      </c>
      <c r="C58" s="18" t="inlineStr">
        <is>
          <t>Yes | No</t>
        </is>
      </c>
      <c r="D58" s="15" t="inlineStr">
        <is>
          <t>0%</t>
        </is>
      </c>
      <c r="E58" s="15" t="inlineStr">
        <is>
          <t>0%</t>
        </is>
      </c>
    </row>
    <row r="59">
      <c r="A59" s="14" t="inlineStr">
        <is>
          <t>E5</t>
        </is>
      </c>
      <c r="B59" s="14" t="inlineStr">
        <is>
          <t>Fieldwork / Interviewing</t>
        </is>
      </c>
      <c r="C59" s="18" t="inlineStr">
        <is>
          <t>Yes | No</t>
        </is>
      </c>
      <c r="D59" s="15" t="inlineStr">
        <is>
          <t>0%</t>
        </is>
      </c>
      <c r="E59" s="15" t="inlineStr">
        <is>
          <t>0%</t>
        </is>
      </c>
    </row>
    <row r="60">
      <c r="A60" s="14" t="inlineStr">
        <is>
          <t>E6</t>
        </is>
      </c>
      <c r="B60" s="14" t="inlineStr">
        <is>
          <t>Data Processing</t>
        </is>
      </c>
      <c r="C60" s="18" t="inlineStr">
        <is>
          <t>Yes | No</t>
        </is>
      </c>
      <c r="D60" s="15" t="inlineStr">
        <is>
          <t>0%</t>
        </is>
      </c>
      <c r="E60" s="15" t="inlineStr">
        <is>
          <t>0%</t>
        </is>
      </c>
    </row>
    <row r="61">
      <c r="A61" s="14" t="inlineStr">
        <is>
          <t>E7</t>
        </is>
      </c>
      <c r="B61" s="14" t="inlineStr">
        <is>
          <t>Coding</t>
        </is>
      </c>
      <c r="C61" s="18" t="inlineStr">
        <is>
          <t>Yes | No</t>
        </is>
      </c>
      <c r="D61" s="15" t="inlineStr">
        <is>
          <t>0%</t>
        </is>
      </c>
      <c r="E61" s="15" t="inlineStr">
        <is>
          <t>0%</t>
        </is>
      </c>
    </row>
    <row r="62">
      <c r="A62" s="14" t="inlineStr">
        <is>
          <t>E8</t>
        </is>
      </c>
      <c r="B62" s="14" t="inlineStr">
        <is>
          <t>Tabulation</t>
        </is>
      </c>
      <c r="C62" s="18" t="inlineStr">
        <is>
          <t>Yes | No</t>
        </is>
      </c>
      <c r="D62" s="15" t="inlineStr">
        <is>
          <t>0%</t>
        </is>
      </c>
      <c r="E62" s="15" t="inlineStr">
        <is>
          <t>0%</t>
        </is>
      </c>
    </row>
    <row r="63">
      <c r="A63" s="14" t="inlineStr">
        <is>
          <t>E9</t>
        </is>
      </c>
      <c r="B63" s="14" t="inlineStr">
        <is>
          <t>Analysis &amp; Reporting</t>
        </is>
      </c>
      <c r="C63" s="18" t="inlineStr">
        <is>
          <t>Yes | No</t>
        </is>
      </c>
      <c r="D63" s="15" t="inlineStr">
        <is>
          <t>0%</t>
        </is>
      </c>
      <c r="E63" s="15" t="inlineStr">
        <is>
          <t>0%</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tabColor rgb="000284C7"/>
    <outlinePr summaryBelow="1" summaryRight="1"/>
    <pageSetUpPr/>
  </sheetPr>
  <dimension ref="A1:G64"/>
  <sheetViews>
    <sheetView workbookViewId="0">
      <selection activeCell="A1" sqref="A1"/>
    </sheetView>
  </sheetViews>
  <sheetFormatPr baseColWidth="8" defaultRowHeight="15"/>
  <cols>
    <col width="30" customWidth="1" min="1" max="1"/>
    <col width="18" customWidth="1" min="2" max="2"/>
    <col width="18" customWidth="1" min="3" max="3"/>
    <col width="50" customWidth="1" min="4" max="4"/>
    <col width="18" customWidth="1" min="5" max="5"/>
    <col width="18" customWidth="1" min="6" max="6"/>
    <col width="35" customWidth="1" min="7" max="7"/>
  </cols>
  <sheetData>
    <row r="1">
      <c r="A1" s="2" t="inlineStr">
        <is>
          <t>SAMPLE PROJECT PRICING SCENARIOS</t>
        </is>
      </c>
    </row>
    <row r="2">
      <c r="A2" s="19" t="inlineStr">
        <is>
          <t>Provide pricing for representative project scenarios. Each scenario tests vendor capability and cost competitiveness for a specific research type. Based on RFP-A4 sample project format.</t>
        </is>
      </c>
      <c r="B2" s="26" t="n"/>
      <c r="C2" s="26" t="n"/>
      <c r="D2" s="26" t="n"/>
      <c r="E2" s="26" t="n"/>
      <c r="F2" s="26" t="n"/>
      <c r="G2" s="27" t="n"/>
    </row>
    <row r="4">
      <c r="A4" s="22" t="inlineStr">
        <is>
          <t>SCENARIO 1</t>
        </is>
      </c>
    </row>
    <row r="5">
      <c r="A5" s="3" t="inlineStr">
        <is>
          <t>Research Type:</t>
        </is>
      </c>
      <c r="B5" s="18" t="inlineStr">
        <is>
          <t>Shopper | Segmentation | U&amp;A | Tracking | Packaging | Qual | Claims | Expert | Concept | Campaign Dev | Exploratory | Market Sizing</t>
        </is>
      </c>
      <c r="C5" s="26" t="n"/>
      <c r="D5" s="26" t="n"/>
      <c r="E5" s="26" t="n"/>
      <c r="F5" s="26" t="n"/>
      <c r="G5" s="27" t="n"/>
    </row>
    <row r="6">
      <c r="A6" s="3" t="inlineStr">
        <is>
          <t>Objectives:</t>
        </is>
      </c>
      <c r="B6" s="15" t="inlineStr">
        <is>
          <t>The [BRAND_A] team is interested in gaining real-world understanding of why, when, and how patients are treated with biologics. Physicians’ real-world practices with regard to what agents they use, in what patient situations, and the reasons why (especially reasons for why using [BRAND] instead of [</t>
        </is>
      </c>
      <c r="C6" s="26" t="n"/>
      <c r="D6" s="26" t="n"/>
      <c r="E6" s="26" t="n"/>
      <c r="F6" s="26" t="n"/>
      <c r="G6" s="27" t="n"/>
    </row>
    <row r="7">
      <c r="A7" s="3" t="inlineStr">
        <is>
          <t>Timeline:</t>
        </is>
      </c>
      <c r="B7" s="15" t="inlineStr">
        <is>
          <t>16 weeks from kickoff to final presentation</t>
        </is>
      </c>
      <c r="C7" s="26" t="n"/>
      <c r="D7" s="26" t="n"/>
      <c r="E7" s="26" t="n"/>
      <c r="F7" s="26" t="n"/>
      <c r="G7" s="27" t="n"/>
    </row>
    <row r="8">
      <c r="A8" s="3" t="inlineStr">
        <is>
          <t>Markets:</t>
        </is>
      </c>
      <c r="B8" s="15" t="inlineStr">
        <is>
          <t>Us</t>
        </is>
      </c>
      <c r="C8" s="26" t="n"/>
      <c r="D8" s="26" t="n"/>
      <c r="E8" s="26" t="n"/>
      <c r="F8" s="26" t="n"/>
      <c r="G8" s="27" t="n"/>
    </row>
    <row r="9">
      <c r="A9" s="3" t="inlineStr">
        <is>
          <t>Methodology:</t>
        </is>
      </c>
      <c r="B9" s="15" t="inlineStr">
        <is>
          <t>(This research is being designed to answer the following objectives/questions)
How long have patients been diagnosed with RA before a biologic is considered?</t>
        </is>
      </c>
      <c r="C9" s="26" t="n"/>
      <c r="D9" s="26" t="n"/>
      <c r="E9" s="26" t="n"/>
      <c r="F9" s="26" t="n"/>
      <c r="G9" s="27" t="n"/>
    </row>
    <row r="10">
      <c r="A10" s="3" t="inlineStr">
        <is>
          <t>Sample Size:</t>
        </is>
      </c>
      <c r="B10" s="15" t="inlineStr">
        <is>
          <t>N=300 across 1 markets</t>
        </is>
      </c>
      <c r="C10" s="26" t="n"/>
      <c r="D10" s="26" t="n"/>
      <c r="E10" s="26" t="n"/>
      <c r="F10" s="26" t="n"/>
      <c r="G10" s="27" t="n"/>
    </row>
    <row r="11">
      <c r="A11" s="3" t="inlineStr">
        <is>
          <t>Deliverables:</t>
        </is>
      </c>
      <c r="B11" s="15" t="inlineStr">
        <is>
          <t>Preference for quarterly reporting, but open to vendor recommendations regarding feasibility of frequently of reporting
Include timeline</t>
        </is>
      </c>
      <c r="C11" s="26" t="n"/>
      <c r="D11" s="26" t="n"/>
      <c r="E11" s="26" t="n"/>
      <c r="F11" s="26" t="n"/>
      <c r="G11" s="27" t="n"/>
    </row>
    <row r="13">
      <c r="A13" s="9" t="inlineStr">
        <is>
          <t>Cost Driver</t>
        </is>
      </c>
      <c r="B13" s="9" t="inlineStr">
        <is>
          <t>Total Cost</t>
        </is>
      </c>
      <c r="C13" s="9" t="inlineStr">
        <is>
          <t>Currency</t>
        </is>
      </c>
    </row>
    <row r="14">
      <c r="A14" s="23" t="inlineStr">
        <is>
          <t>Project Initiation</t>
        </is>
      </c>
      <c r="B14" s="15" t="inlineStr">
        <is>
          <t>$5,000</t>
        </is>
      </c>
      <c r="C14" s="18" t="inlineStr">
        <is>
          <t>USD|EUR|GBP</t>
        </is>
      </c>
    </row>
    <row r="15">
      <c r="A15" s="23" t="inlineStr">
        <is>
          <t>Fieldwork Preparation</t>
        </is>
      </c>
      <c r="B15" s="15" t="inlineStr">
        <is>
          <t>$8,000</t>
        </is>
      </c>
    </row>
    <row r="16">
      <c r="A16" s="23" t="inlineStr">
        <is>
          <t>Fieldwork</t>
        </is>
      </c>
      <c r="B16" s="15" t="inlineStr">
        <is>
          <t>$25,000</t>
        </is>
      </c>
    </row>
    <row r="17">
      <c r="A17" s="23" t="inlineStr">
        <is>
          <t>Data Processing</t>
        </is>
      </c>
      <c r="B17" s="15" t="inlineStr">
        <is>
          <t>$6,000</t>
        </is>
      </c>
    </row>
    <row r="18">
      <c r="A18" s="23" t="inlineStr">
        <is>
          <t>Analytics</t>
        </is>
      </c>
      <c r="B18" s="15" t="inlineStr">
        <is>
          <t>$15,000</t>
        </is>
      </c>
    </row>
    <row r="19">
      <c r="A19" s="23" t="inlineStr">
        <is>
          <t>Overheads</t>
        </is>
      </c>
      <c r="B19" s="15" t="inlineStr">
        <is>
          <t>$3,000</t>
        </is>
      </c>
    </row>
    <row r="20">
      <c r="A20" s="23" t="inlineStr">
        <is>
          <t>Other Costs</t>
        </is>
      </c>
      <c r="B20" s="15" t="inlineStr">
        <is>
          <t>$2,000</t>
        </is>
      </c>
    </row>
    <row r="21">
      <c r="A21" s="24" t="inlineStr">
        <is>
          <t>TOTAL</t>
        </is>
      </c>
      <c r="B21" s="24">
        <f>SUM(B14:B20)</f>
        <v/>
      </c>
    </row>
    <row r="24">
      <c r="A24" s="22" t="inlineStr">
        <is>
          <t>SCENARIO 2</t>
        </is>
      </c>
    </row>
    <row r="25">
      <c r="A25" s="3" t="inlineStr">
        <is>
          <t>Research Type:</t>
        </is>
      </c>
      <c r="B25" s="18" t="inlineStr">
        <is>
          <t>Shopper | Segmentation | U&amp;A | Tracking | Packaging | Qual | Claims | Expert | Concept | Campaign Dev | Exploratory | Market Sizing</t>
        </is>
      </c>
      <c r="C25" s="26" t="n"/>
      <c r="D25" s="26" t="n"/>
      <c r="E25" s="26" t="n"/>
      <c r="F25" s="26" t="n"/>
      <c r="G25" s="27" t="n"/>
    </row>
    <row r="26">
      <c r="A26" s="3" t="inlineStr">
        <is>
          <t>Objectives:</t>
        </is>
      </c>
      <c r="B26" s="15" t="inlineStr">
        <is>
          <t>Qualitative exploration of attitudes and unmet needs</t>
        </is>
      </c>
      <c r="C26" s="26" t="n"/>
      <c r="D26" s="26" t="n"/>
      <c r="E26" s="26" t="n"/>
      <c r="F26" s="26" t="n"/>
      <c r="G26" s="27" t="n"/>
    </row>
    <row r="27">
      <c r="A27" s="3" t="inlineStr">
        <is>
          <t>Timeline:</t>
        </is>
      </c>
      <c r="B27" s="15" t="inlineStr">
        <is>
          <t>12 weeks from kickoff to final presentation</t>
        </is>
      </c>
      <c r="C27" s="26" t="n"/>
      <c r="D27" s="26" t="n"/>
      <c r="E27" s="26" t="n"/>
      <c r="F27" s="26" t="n"/>
      <c r="G27" s="27" t="n"/>
    </row>
    <row r="28">
      <c r="A28" s="3" t="inlineStr">
        <is>
          <t>Markets:</t>
        </is>
      </c>
      <c r="B28" s="15" t="inlineStr">
        <is>
          <t>US, UK</t>
        </is>
      </c>
      <c r="C28" s="26" t="n"/>
      <c r="D28" s="26" t="n"/>
      <c r="E28" s="26" t="n"/>
      <c r="F28" s="26" t="n"/>
      <c r="G28" s="27" t="n"/>
    </row>
    <row r="29">
      <c r="A29" s="3" t="inlineStr">
        <is>
          <t>Methodology:</t>
        </is>
      </c>
      <c r="B29" s="15" t="inlineStr">
        <is>
          <t>12 IDIs per market, 60 min each</t>
        </is>
      </c>
      <c r="C29" s="26" t="n"/>
      <c r="D29" s="26" t="n"/>
      <c r="E29" s="26" t="n"/>
      <c r="F29" s="26" t="n"/>
      <c r="G29" s="27" t="n"/>
    </row>
    <row r="30">
      <c r="A30" s="3" t="inlineStr">
        <is>
          <t>Sample Size:</t>
        </is>
      </c>
      <c r="B30" s="15" t="inlineStr">
        <is>
          <t>N=24 across 2 markets</t>
        </is>
      </c>
      <c r="C30" s="26" t="n"/>
      <c r="D30" s="26" t="n"/>
      <c r="E30" s="26" t="n"/>
      <c r="F30" s="26" t="n"/>
      <c r="G30" s="27" t="n"/>
    </row>
    <row r="31">
      <c r="A31" s="3" t="inlineStr">
        <is>
          <t>Deliverables:</t>
        </is>
      </c>
      <c r="B31" s="15" t="inlineStr">
        <is>
          <t>Topline findings deck + detailed appendix</t>
        </is>
      </c>
      <c r="C31" s="26" t="n"/>
      <c r="D31" s="26" t="n"/>
      <c r="E31" s="26" t="n"/>
      <c r="F31" s="26" t="n"/>
      <c r="G31" s="27" t="n"/>
    </row>
    <row r="33">
      <c r="A33" s="9" t="inlineStr">
        <is>
          <t>Cost Driver</t>
        </is>
      </c>
      <c r="B33" s="9" t="inlineStr">
        <is>
          <t>Total Cost</t>
        </is>
      </c>
      <c r="C33" s="9" t="inlineStr">
        <is>
          <t>Currency</t>
        </is>
      </c>
    </row>
    <row r="34">
      <c r="A34" s="23" t="inlineStr">
        <is>
          <t>Project Initiation</t>
        </is>
      </c>
      <c r="B34" s="15" t="inlineStr">
        <is>
          <t>$3,000</t>
        </is>
      </c>
      <c r="C34" s="18" t="inlineStr">
        <is>
          <t>USD|EUR|GBP</t>
        </is>
      </c>
    </row>
    <row r="35">
      <c r="A35" s="23" t="inlineStr">
        <is>
          <t>Fieldwork Preparation</t>
        </is>
      </c>
      <c r="B35" s="15" t="inlineStr">
        <is>
          <t>$5,000</t>
        </is>
      </c>
    </row>
    <row r="36">
      <c r="A36" s="23" t="inlineStr">
        <is>
          <t>Fieldwork</t>
        </is>
      </c>
      <c r="B36" s="15" t="inlineStr">
        <is>
          <t>$18,000</t>
        </is>
      </c>
    </row>
    <row r="37">
      <c r="A37" s="23" t="inlineStr">
        <is>
          <t>Data Processing</t>
        </is>
      </c>
      <c r="B37" s="15" t="inlineStr">
        <is>
          <t>$4,000</t>
        </is>
      </c>
    </row>
    <row r="38">
      <c r="A38" s="23" t="inlineStr">
        <is>
          <t>Analytics</t>
        </is>
      </c>
      <c r="B38" s="15" t="inlineStr">
        <is>
          <t>$10,000</t>
        </is>
      </c>
    </row>
    <row r="39">
      <c r="A39" s="23" t="inlineStr">
        <is>
          <t>Overheads</t>
        </is>
      </c>
      <c r="B39" s="15" t="inlineStr">
        <is>
          <t>$2,000</t>
        </is>
      </c>
    </row>
    <row r="40">
      <c r="A40" s="23" t="inlineStr">
        <is>
          <t>Other Costs</t>
        </is>
      </c>
      <c r="B40" s="15" t="inlineStr">
        <is>
          <t>$1,500</t>
        </is>
      </c>
    </row>
    <row r="41">
      <c r="A41" s="24" t="inlineStr">
        <is>
          <t>TOTAL</t>
        </is>
      </c>
      <c r="B41" s="24">
        <f>SUM(B34:B40)</f>
        <v/>
      </c>
    </row>
    <row r="44">
      <c r="A44" s="22" t="inlineStr">
        <is>
          <t>SCENARIO 3</t>
        </is>
      </c>
    </row>
    <row r="45">
      <c r="A45" s="3" t="inlineStr">
        <is>
          <t>Research Type:</t>
        </is>
      </c>
      <c r="B45" s="18" t="inlineStr">
        <is>
          <t>Shopper | Segmentation | U&amp;A | Tracking | Packaging | Qual | Claims | Expert | Concept | Campaign Dev | Exploratory | Market Sizing</t>
        </is>
      </c>
      <c r="C45" s="26" t="n"/>
      <c r="D45" s="26" t="n"/>
      <c r="E45" s="26" t="n"/>
      <c r="F45" s="26" t="n"/>
      <c r="G45" s="27" t="n"/>
    </row>
    <row r="46">
      <c r="A46" s="3" t="inlineStr">
        <is>
          <t>Objectives:</t>
        </is>
      </c>
      <c r="B46" s="15" t="inlineStr">
        <is>
          <t>Quarterly brand health tracking</t>
        </is>
      </c>
      <c r="C46" s="26" t="n"/>
      <c r="D46" s="26" t="n"/>
      <c r="E46" s="26" t="n"/>
      <c r="F46" s="26" t="n"/>
      <c r="G46" s="27" t="n"/>
    </row>
    <row r="47">
      <c r="A47" s="3" t="inlineStr">
        <is>
          <t>Timeline:</t>
        </is>
      </c>
      <c r="B47" s="15" t="inlineStr">
        <is>
          <t>52 weeks (annual contract with quarterly waves)</t>
        </is>
      </c>
      <c r="C47" s="26" t="n"/>
      <c r="D47" s="26" t="n"/>
      <c r="E47" s="26" t="n"/>
      <c r="F47" s="26" t="n"/>
      <c r="G47" s="27" t="n"/>
    </row>
    <row r="48">
      <c r="A48" s="3" t="inlineStr">
        <is>
          <t>Markets:</t>
        </is>
      </c>
      <c r="B48" s="15" t="inlineStr">
        <is>
          <t>Us</t>
        </is>
      </c>
      <c r="C48" s="26" t="n"/>
      <c r="D48" s="26" t="n"/>
      <c r="E48" s="26" t="n"/>
      <c r="F48" s="26" t="n"/>
      <c r="G48" s="27" t="n"/>
    </row>
    <row r="49">
      <c r="A49" s="3" t="inlineStr">
        <is>
          <t>Methodology:</t>
        </is>
      </c>
      <c r="B49" s="15" t="inlineStr">
        <is>
          <t>Online tracking survey, 20 min LOI, quarterly waves</t>
        </is>
      </c>
      <c r="C49" s="26" t="n"/>
      <c r="D49" s="26" t="n"/>
      <c r="E49" s="26" t="n"/>
      <c r="F49" s="26" t="n"/>
      <c r="G49" s="27" t="n"/>
    </row>
    <row r="50">
      <c r="A50" s="3" t="inlineStr">
        <is>
          <t>Sample Size:</t>
        </is>
      </c>
      <c r="B50" s="15" t="inlineStr">
        <is>
          <t>N=300 per wave</t>
        </is>
      </c>
      <c r="C50" s="26" t="n"/>
      <c r="D50" s="26" t="n"/>
      <c r="E50" s="26" t="n"/>
      <c r="F50" s="26" t="n"/>
      <c r="G50" s="27" t="n"/>
    </row>
    <row r="51">
      <c r="A51" s="3" t="inlineStr">
        <is>
          <t>Deliverables:</t>
        </is>
      </c>
      <c r="B51" s="15" t="inlineStr">
        <is>
          <t>Quarterly dashboard + annual strategic review</t>
        </is>
      </c>
      <c r="C51" s="26" t="n"/>
      <c r="D51" s="26" t="n"/>
      <c r="E51" s="26" t="n"/>
      <c r="F51" s="26" t="n"/>
      <c r="G51" s="27" t="n"/>
    </row>
    <row r="53">
      <c r="A53" s="9" t="inlineStr">
        <is>
          <t>Cost Driver</t>
        </is>
      </c>
      <c r="B53" s="9" t="inlineStr">
        <is>
          <t>Total Cost</t>
        </is>
      </c>
      <c r="C53" s="9" t="inlineStr">
        <is>
          <t>Currency</t>
        </is>
      </c>
    </row>
    <row r="54">
      <c r="A54" s="23" t="inlineStr">
        <is>
          <t>Project Initiation</t>
        </is>
      </c>
      <c r="B54" s="15" t="inlineStr">
        <is>
          <t>$4,000</t>
        </is>
      </c>
      <c r="C54" s="18" t="inlineStr">
        <is>
          <t>USD|EUR|GBP</t>
        </is>
      </c>
    </row>
    <row r="55">
      <c r="A55" s="23" t="inlineStr">
        <is>
          <t>Fieldwork Preparation</t>
        </is>
      </c>
      <c r="B55" s="15" t="inlineStr">
        <is>
          <t>$6,000</t>
        </is>
      </c>
    </row>
    <row r="56">
      <c r="A56" s="23" t="inlineStr">
        <is>
          <t>Fieldwork</t>
        </is>
      </c>
      <c r="B56" s="15" t="inlineStr">
        <is>
          <t>$30,000</t>
        </is>
      </c>
    </row>
    <row r="57">
      <c r="A57" s="23" t="inlineStr">
        <is>
          <t>Data Processing</t>
        </is>
      </c>
      <c r="B57" s="15" t="inlineStr">
        <is>
          <t>$5,000</t>
        </is>
      </c>
    </row>
    <row r="58">
      <c r="A58" s="23" t="inlineStr">
        <is>
          <t>Analytics</t>
        </is>
      </c>
      <c r="B58" s="15" t="inlineStr">
        <is>
          <t>$12,000</t>
        </is>
      </c>
    </row>
    <row r="59">
      <c r="A59" s="23" t="inlineStr">
        <is>
          <t>Overheads</t>
        </is>
      </c>
      <c r="B59" s="15" t="inlineStr">
        <is>
          <t>$3,500</t>
        </is>
      </c>
    </row>
    <row r="60">
      <c r="A60" s="23" t="inlineStr">
        <is>
          <t>Other Costs</t>
        </is>
      </c>
      <c r="B60" s="15" t="inlineStr">
        <is>
          <t>$2,500</t>
        </is>
      </c>
    </row>
    <row r="61">
      <c r="A61" s="24" t="inlineStr">
        <is>
          <t>TOTAL</t>
        </is>
      </c>
      <c r="B61" s="24">
        <f>SUM(B54:B60)</f>
        <v/>
      </c>
    </row>
    <row r="64">
      <c r="A64" s="17" t="inlineStr">
        <is>
          <t>EXAMPLE (from RFP-A4 Consumer): Shopper Research — UK, 26 weeks, Qual Research (shop-along + in-store interviews + in-home depth interviews), N=3600 spread across 3 channels. Cost drivers: Project Initiation | Fieldwork Prep | Fieldwork | Data Processing | Analytics | Overheads | Other.</t>
        </is>
      </c>
      <c r="B64" s="26" t="n"/>
      <c r="C64" s="26" t="n"/>
      <c r="D64" s="26" t="n"/>
      <c r="E64" s="26" t="n"/>
      <c r="F64" s="26" t="n"/>
      <c r="G64" s="27" t="n"/>
    </row>
  </sheetData>
  <mergeCells count="27">
    <mergeCell ref="A4:G4"/>
    <mergeCell ref="B8:G8"/>
    <mergeCell ref="B29:G29"/>
    <mergeCell ref="B10:G10"/>
    <mergeCell ref="A44:G44"/>
    <mergeCell ref="B28:G28"/>
    <mergeCell ref="B9:G9"/>
    <mergeCell ref="B49:G49"/>
    <mergeCell ref="A24:G24"/>
    <mergeCell ref="A64:G64"/>
    <mergeCell ref="B30:G30"/>
    <mergeCell ref="B6:G6"/>
    <mergeCell ref="B51:G51"/>
    <mergeCell ref="A1:G1"/>
    <mergeCell ref="B5:G5"/>
    <mergeCell ref="B45:G45"/>
    <mergeCell ref="B50:G50"/>
    <mergeCell ref="B26:G26"/>
    <mergeCell ref="B7:G7"/>
    <mergeCell ref="B25:G25"/>
    <mergeCell ref="B47:G47"/>
    <mergeCell ref="B46:G46"/>
    <mergeCell ref="B31:G31"/>
    <mergeCell ref="B27:G27"/>
    <mergeCell ref="A2:G2"/>
    <mergeCell ref="B48:G48"/>
    <mergeCell ref="B11:G11"/>
  </mergeCells>
  <pageMargins left="0.75" right="0.75" top="1" bottom="1" header="0.5" footer="0.5"/>
</worksheet>
</file>

<file path=xl/worksheets/sheet7.xml><?xml version="1.0" encoding="utf-8"?>
<worksheet xmlns="http://schemas.openxmlformats.org/spreadsheetml/2006/main">
  <sheetPr>
    <tabColor rgb="00EA580C"/>
    <outlinePr summaryBelow="1" summaryRight="1"/>
    <pageSetUpPr/>
  </sheetPr>
  <dimension ref="A1:N19"/>
  <sheetViews>
    <sheetView workbookViewId="0">
      <selection activeCell="A1" sqref="A1"/>
    </sheetView>
  </sheetViews>
  <sheetFormatPr baseColWidth="8" defaultRowHeight="15"/>
  <cols>
    <col width="35" customWidth="1" min="1" max="1"/>
    <col width="1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s>
  <sheetData>
    <row r="1">
      <c r="A1" s="2" t="inlineStr">
        <is>
          <t>PROJECT TIMELINE &amp; MILESTONES</t>
        </is>
      </c>
    </row>
    <row r="2">
      <c r="A2" s="19" t="inlineStr">
        <is>
          <t>Map project phases across weeks/months. Mark milestones, dependencies, and responsible parties. Vendors should provide their own detailed Gantt chart in their proposal.</t>
        </is>
      </c>
      <c r="B2" s="26" t="n"/>
      <c r="C2" s="26" t="n"/>
      <c r="D2" s="26" t="n"/>
      <c r="E2" s="26" t="n"/>
      <c r="F2" s="26" t="n"/>
      <c r="G2" s="26" t="n"/>
      <c r="H2" s="26" t="n"/>
      <c r="I2" s="26" t="n"/>
      <c r="J2" s="26" t="n"/>
      <c r="K2" s="26" t="n"/>
      <c r="L2" s="26" t="n"/>
      <c r="M2" s="26" t="n"/>
      <c r="N2" s="27" t="n"/>
    </row>
    <row r="4">
      <c r="A4" s="9" t="inlineStr">
        <is>
          <t>Phase / Milestone</t>
        </is>
      </c>
      <c r="B4" s="9" t="inlineStr">
        <is>
          <t>Owner</t>
        </is>
      </c>
      <c r="C4" s="9" t="inlineStr">
        <is>
          <t>Week 1-2</t>
        </is>
      </c>
      <c r="D4" s="9" t="inlineStr">
        <is>
          <t>Week 3-4</t>
        </is>
      </c>
      <c r="E4" s="9" t="inlineStr">
        <is>
          <t>Week 5-6</t>
        </is>
      </c>
      <c r="F4" s="9" t="inlineStr">
        <is>
          <t>Week 7-8</t>
        </is>
      </c>
      <c r="G4" s="9" t="inlineStr">
        <is>
          <t>Week 9-10</t>
        </is>
      </c>
      <c r="H4" s="9" t="inlineStr">
        <is>
          <t>Week 11-12</t>
        </is>
      </c>
      <c r="I4" s="9" t="inlineStr">
        <is>
          <t>Week 13-16</t>
        </is>
      </c>
      <c r="J4" s="9" t="inlineStr">
        <is>
          <t>Week 17-20</t>
        </is>
      </c>
      <c r="K4" s="9" t="inlineStr">
        <is>
          <t>Week 21-24</t>
        </is>
      </c>
      <c r="L4" s="9" t="inlineStr">
        <is>
          <t>Week 25-28</t>
        </is>
      </c>
      <c r="M4" s="9" t="inlineStr">
        <is>
          <t>Week 29-32</t>
        </is>
      </c>
      <c r="N4" s="9" t="inlineStr">
        <is>
          <t>Status</t>
        </is>
      </c>
    </row>
    <row r="5">
      <c r="A5" s="4" t="inlineStr">
        <is>
          <t>RFP Release &amp; Vendor Selection</t>
        </is>
      </c>
      <c r="B5" s="18" t="inlineStr">
        <is>
          <t>Client</t>
        </is>
      </c>
      <c r="C5" s="25" t="inlineStr"/>
      <c r="D5" s="25" t="inlineStr"/>
      <c r="E5" s="25" t="inlineStr"/>
      <c r="F5" s="25" t="inlineStr"/>
      <c r="G5" s="25" t="inlineStr"/>
      <c r="H5" s="25" t="inlineStr"/>
      <c r="I5" s="25" t="inlineStr"/>
      <c r="J5" s="25" t="inlineStr"/>
      <c r="K5" s="25" t="inlineStr"/>
      <c r="L5" s="25" t="inlineStr"/>
      <c r="M5" s="25" t="inlineStr"/>
      <c r="N5" s="18" t="inlineStr">
        <is>
          <t>Complete</t>
        </is>
      </c>
    </row>
    <row r="6">
      <c r="A6" s="4" t="inlineStr">
        <is>
          <t>Kick-off &amp; Project Planning</t>
        </is>
      </c>
      <c r="B6" s="18" t="inlineStr">
        <is>
          <t>Joint</t>
        </is>
      </c>
      <c r="C6" s="25" t="inlineStr"/>
      <c r="D6" s="25" t="inlineStr"/>
      <c r="E6" s="25" t="inlineStr"/>
      <c r="F6" s="25" t="inlineStr"/>
      <c r="G6" s="25" t="inlineStr"/>
      <c r="H6" s="25" t="inlineStr"/>
      <c r="I6" s="25" t="inlineStr"/>
      <c r="J6" s="25" t="inlineStr"/>
      <c r="K6" s="25" t="inlineStr"/>
      <c r="L6" s="25" t="inlineStr"/>
      <c r="M6" s="25" t="inlineStr"/>
      <c r="N6" s="18" t="inlineStr">
        <is>
          <t>Complete</t>
        </is>
      </c>
    </row>
    <row r="7">
      <c r="A7" s="4" t="inlineStr">
        <is>
          <t>Questionnaire / Guide Development</t>
        </is>
      </c>
      <c r="B7" s="18" t="inlineStr">
        <is>
          <t>Joint</t>
        </is>
      </c>
      <c r="C7" s="25" t="inlineStr"/>
      <c r="D7" s="25" t="inlineStr"/>
      <c r="E7" s="25" t="inlineStr"/>
      <c r="F7" s="25" t="inlineStr"/>
      <c r="G7" s="25" t="inlineStr"/>
      <c r="H7" s="25" t="inlineStr"/>
      <c r="I7" s="25" t="inlineStr"/>
      <c r="J7" s="25" t="inlineStr"/>
      <c r="K7" s="25" t="inlineStr"/>
      <c r="L7" s="25" t="inlineStr"/>
      <c r="M7" s="25" t="inlineStr"/>
      <c r="N7" s="18" t="inlineStr">
        <is>
          <t>In Progress</t>
        </is>
      </c>
    </row>
    <row r="8">
      <c r="A8" s="4" t="inlineStr">
        <is>
          <t>Regulatory / Compliance Review</t>
        </is>
      </c>
      <c r="B8" s="18" t="inlineStr">
        <is>
          <t>Client</t>
        </is>
      </c>
      <c r="C8" s="25" t="inlineStr"/>
      <c r="D8" s="25" t="inlineStr"/>
      <c r="E8" s="25" t="inlineStr"/>
      <c r="F8" s="25" t="inlineStr"/>
      <c r="G8" s="25" t="inlineStr"/>
      <c r="H8" s="25" t="inlineStr"/>
      <c r="I8" s="25" t="inlineStr"/>
      <c r="J8" s="25" t="inlineStr"/>
      <c r="K8" s="25" t="inlineStr"/>
      <c r="L8" s="25" t="inlineStr"/>
      <c r="M8" s="25" t="inlineStr"/>
      <c r="N8" s="18" t="inlineStr">
        <is>
          <t>In Progress</t>
        </is>
      </c>
    </row>
    <row r="9">
      <c r="A9" s="4" t="inlineStr">
        <is>
          <t>Translation &amp; Localization</t>
        </is>
      </c>
      <c r="B9" s="18" t="inlineStr">
        <is>
          <t>Vendor</t>
        </is>
      </c>
      <c r="C9" s="25" t="inlineStr"/>
      <c r="D9" s="25" t="inlineStr"/>
      <c r="E9" s="25" t="inlineStr"/>
      <c r="F9" s="25" t="inlineStr"/>
      <c r="G9" s="25" t="inlineStr"/>
      <c r="H9" s="25" t="inlineStr"/>
      <c r="I9" s="25" t="inlineStr"/>
      <c r="J9" s="25" t="inlineStr"/>
      <c r="K9" s="25" t="inlineStr"/>
      <c r="L9" s="25" t="inlineStr"/>
      <c r="M9" s="25" t="inlineStr"/>
      <c r="N9" s="18" t="inlineStr">
        <is>
          <t>Not Started</t>
        </is>
      </c>
    </row>
    <row r="10">
      <c r="A10" s="4" t="inlineStr">
        <is>
          <t>Programming &amp; Pilot</t>
        </is>
      </c>
      <c r="B10" s="18" t="inlineStr">
        <is>
          <t>Vendor</t>
        </is>
      </c>
      <c r="C10" s="25" t="inlineStr"/>
      <c r="D10" s="25" t="inlineStr"/>
      <c r="E10" s="25" t="inlineStr"/>
      <c r="F10" s="25" t="inlineStr"/>
      <c r="G10" s="25" t="inlineStr"/>
      <c r="H10" s="25" t="inlineStr"/>
      <c r="I10" s="25" t="inlineStr"/>
      <c r="J10" s="25" t="inlineStr"/>
      <c r="K10" s="25" t="inlineStr"/>
      <c r="L10" s="25" t="inlineStr"/>
      <c r="M10" s="25" t="inlineStr"/>
      <c r="N10" s="18" t="inlineStr">
        <is>
          <t>Not Started</t>
        </is>
      </c>
    </row>
    <row r="11">
      <c r="A11" s="4" t="inlineStr">
        <is>
          <t>Recruitment</t>
        </is>
      </c>
      <c r="B11" s="18" t="inlineStr">
        <is>
          <t>Vendor</t>
        </is>
      </c>
      <c r="C11" s="25" t="inlineStr"/>
      <c r="D11" s="25" t="inlineStr"/>
      <c r="E11" s="25" t="inlineStr"/>
      <c r="F11" s="25" t="inlineStr"/>
      <c r="G11" s="25" t="inlineStr"/>
      <c r="H11" s="25" t="inlineStr"/>
      <c r="I11" s="25" t="inlineStr"/>
      <c r="J11" s="25" t="inlineStr"/>
      <c r="K11" s="25" t="inlineStr"/>
      <c r="L11" s="25" t="inlineStr"/>
      <c r="M11" s="25" t="inlineStr"/>
      <c r="N11" s="18" t="inlineStr">
        <is>
          <t>Not Started</t>
        </is>
      </c>
    </row>
    <row r="12">
      <c r="A12" s="4" t="inlineStr">
        <is>
          <t>Fieldwork</t>
        </is>
      </c>
      <c r="B12" s="18" t="inlineStr">
        <is>
          <t>Vendor</t>
        </is>
      </c>
      <c r="C12" s="25" t="inlineStr"/>
      <c r="D12" s="25" t="inlineStr"/>
      <c r="E12" s="25" t="inlineStr"/>
      <c r="F12" s="25" t="inlineStr"/>
      <c r="G12" s="25" t="inlineStr"/>
      <c r="H12" s="25" t="inlineStr"/>
      <c r="I12" s="25" t="inlineStr"/>
      <c r="J12" s="25" t="inlineStr"/>
      <c r="K12" s="25" t="inlineStr"/>
      <c r="L12" s="25" t="inlineStr"/>
      <c r="M12" s="25" t="inlineStr"/>
      <c r="N12" s="18" t="inlineStr">
        <is>
          <t>Not Started</t>
        </is>
      </c>
    </row>
    <row r="13">
      <c r="A13" s="4" t="inlineStr">
        <is>
          <t>Data Processing &amp; Cleaning</t>
        </is>
      </c>
      <c r="B13" s="18" t="inlineStr">
        <is>
          <t>Vendor</t>
        </is>
      </c>
      <c r="C13" s="25" t="inlineStr"/>
      <c r="D13" s="25" t="inlineStr"/>
      <c r="E13" s="25" t="inlineStr"/>
      <c r="F13" s="25" t="inlineStr"/>
      <c r="G13" s="25" t="inlineStr"/>
      <c r="H13" s="25" t="inlineStr"/>
      <c r="I13" s="25" t="inlineStr"/>
      <c r="J13" s="25" t="inlineStr"/>
      <c r="K13" s="25" t="inlineStr"/>
      <c r="L13" s="25" t="inlineStr"/>
      <c r="M13" s="25" t="inlineStr"/>
      <c r="N13" s="18" t="inlineStr">
        <is>
          <t>Not Started</t>
        </is>
      </c>
    </row>
    <row r="14">
      <c r="A14" s="4" t="inlineStr">
        <is>
          <t>Analysis &amp; Modeling</t>
        </is>
      </c>
      <c r="B14" s="18" t="inlineStr">
        <is>
          <t>Vendor</t>
        </is>
      </c>
      <c r="C14" s="25" t="inlineStr"/>
      <c r="D14" s="25" t="inlineStr"/>
      <c r="E14" s="25" t="inlineStr"/>
      <c r="F14" s="25" t="inlineStr"/>
      <c r="G14" s="25" t="inlineStr"/>
      <c r="H14" s="25" t="inlineStr"/>
      <c r="I14" s="25" t="inlineStr"/>
      <c r="J14" s="25" t="inlineStr"/>
      <c r="K14" s="25" t="inlineStr"/>
      <c r="L14" s="25" t="inlineStr"/>
      <c r="M14" s="25" t="inlineStr"/>
      <c r="N14" s="18" t="inlineStr">
        <is>
          <t>Not Started</t>
        </is>
      </c>
    </row>
    <row r="15">
      <c r="A15" s="4" t="inlineStr">
        <is>
          <t>Topline / Interim Report</t>
        </is>
      </c>
      <c r="B15" s="18" t="inlineStr">
        <is>
          <t>Vendor</t>
        </is>
      </c>
      <c r="C15" s="25" t="inlineStr"/>
      <c r="D15" s="25" t="inlineStr"/>
      <c r="E15" s="25" t="inlineStr"/>
      <c r="F15" s="25" t="inlineStr"/>
      <c r="G15" s="25" t="inlineStr"/>
      <c r="H15" s="25" t="inlineStr"/>
      <c r="I15" s="25" t="inlineStr"/>
      <c r="J15" s="25" t="inlineStr"/>
      <c r="K15" s="25" t="inlineStr"/>
      <c r="L15" s="25" t="inlineStr"/>
      <c r="M15" s="25" t="inlineStr"/>
      <c r="N15" s="18" t="inlineStr">
        <is>
          <t>Not Started</t>
        </is>
      </c>
    </row>
    <row r="16">
      <c r="A16" s="4" t="inlineStr">
        <is>
          <t>Final Report &amp; Presentation</t>
        </is>
      </c>
      <c r="B16" s="18" t="inlineStr">
        <is>
          <t>Vendor</t>
        </is>
      </c>
      <c r="C16" s="25" t="inlineStr"/>
      <c r="D16" s="25" t="inlineStr"/>
      <c r="E16" s="25" t="inlineStr"/>
      <c r="F16" s="25" t="inlineStr"/>
      <c r="G16" s="25" t="inlineStr"/>
      <c r="H16" s="25" t="inlineStr"/>
      <c r="I16" s="25" t="inlineStr"/>
      <c r="J16" s="25" t="inlineStr"/>
      <c r="K16" s="25" t="inlineStr"/>
      <c r="L16" s="25" t="inlineStr"/>
      <c r="M16" s="25" t="inlineStr"/>
      <c r="N16" s="18" t="inlineStr">
        <is>
          <t>Not Started</t>
        </is>
      </c>
    </row>
    <row r="17">
      <c r="A17" s="4" t="inlineStr">
        <is>
          <t>Post-Delivery Consulting</t>
        </is>
      </c>
      <c r="B17" s="18" t="inlineStr">
        <is>
          <t>Vendor</t>
        </is>
      </c>
      <c r="C17" s="25" t="inlineStr"/>
      <c r="D17" s="25" t="inlineStr"/>
      <c r="E17" s="25" t="inlineStr"/>
      <c r="F17" s="25" t="inlineStr"/>
      <c r="G17" s="25" t="inlineStr"/>
      <c r="H17" s="25" t="inlineStr"/>
      <c r="I17" s="25" t="inlineStr"/>
      <c r="J17" s="25" t="inlineStr"/>
      <c r="K17" s="25" t="inlineStr"/>
      <c r="L17" s="25" t="inlineStr"/>
      <c r="M17" s="25" t="inlineStr"/>
      <c r="N17" s="18" t="inlineStr">
        <is>
          <t>Not Started</t>
        </is>
      </c>
    </row>
    <row r="19">
      <c r="A19" s="19" t="inlineStr">
        <is>
          <t>Mark active weeks with 'X' or color-fill. Add rows for sub-tasks as needed.</t>
        </is>
      </c>
      <c r="B19" s="26" t="n"/>
      <c r="C19" s="26" t="n"/>
      <c r="D19" s="26" t="n"/>
      <c r="E19" s="26" t="n"/>
      <c r="F19" s="26" t="n"/>
      <c r="G19" s="26" t="n"/>
      <c r="H19" s="26" t="n"/>
      <c r="I19" s="26" t="n"/>
      <c r="J19" s="26" t="n"/>
      <c r="K19" s="26" t="n"/>
      <c r="L19" s="26" t="n"/>
      <c r="M19" s="26" t="n"/>
      <c r="N19" s="27" t="n"/>
    </row>
  </sheetData>
  <mergeCells count="3">
    <mergeCell ref="A19:N19"/>
    <mergeCell ref="A2:N2"/>
    <mergeCell ref="A1:N1"/>
  </mergeCells>
  <pageMargins left="0.75" right="0.75" top="1" bottom="1" header="0.5" footer="0.5"/>
</worksheet>
</file>

<file path=xl/worksheets/sheet8.xml><?xml version="1.0" encoding="utf-8"?>
<worksheet xmlns="http://schemas.openxmlformats.org/spreadsheetml/2006/main">
  <sheetPr>
    <tabColor rgb="00DA365C"/>
    <outlinePr summaryBelow="1" summaryRight="1"/>
    <pageSetUpPr/>
  </sheetPr>
  <dimension ref="A1:H12"/>
  <sheetViews>
    <sheetView workbookViewId="0">
      <selection activeCell="A1" sqref="A1"/>
    </sheetView>
  </sheetViews>
  <sheetFormatPr baseColWidth="8" defaultRowHeight="15"/>
  <cols>
    <col width="35" customWidth="1" min="1" max="1"/>
    <col width="12"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VENDOR EVALUATION SCORECARD (Internal Use Only)</t>
        </is>
      </c>
    </row>
    <row r="2">
      <c r="A2" s="19" t="inlineStr">
        <is>
          <t>Score each vendor 1-5 per criterion. Weighted total auto-calculates. Based on evaluation frameworks from RFP-A1, RFP-A3, RFP-A13.</t>
        </is>
      </c>
      <c r="B2" s="26" t="n"/>
      <c r="C2" s="26" t="n"/>
      <c r="D2" s="26" t="n"/>
      <c r="E2" s="26" t="n"/>
      <c r="F2" s="26" t="n"/>
      <c r="G2" s="26" t="n"/>
      <c r="H2" s="27" t="n"/>
    </row>
    <row r="4">
      <c r="A4" s="9" t="inlineStr">
        <is>
          <t>Criterion</t>
        </is>
      </c>
      <c r="B4" s="9" t="inlineStr">
        <is>
          <t>Weight (%)</t>
        </is>
      </c>
      <c r="C4" s="9" t="inlineStr">
        <is>
          <t>Vendor A Score (1-5)</t>
        </is>
      </c>
      <c r="D4" s="9" t="inlineStr">
        <is>
          <t>Vendor A Weighted</t>
        </is>
      </c>
      <c r="E4" s="9" t="inlineStr">
        <is>
          <t>Vendor B Score (1-5)</t>
        </is>
      </c>
      <c r="F4" s="9" t="inlineStr">
        <is>
          <t>Vendor B Weighted</t>
        </is>
      </c>
      <c r="G4" s="9" t="inlineStr">
        <is>
          <t>Vendor C Score (1-5)</t>
        </is>
      </c>
      <c r="H4" s="9" t="inlineStr">
        <is>
          <t>Vendor C Weighted</t>
        </is>
      </c>
    </row>
    <row r="5">
      <c r="A5" s="4" t="inlineStr">
        <is>
          <t>Methodology &amp; Approach</t>
        </is>
      </c>
      <c r="B5" s="28" t="n">
        <v>25</v>
      </c>
      <c r="C5" s="29" t="inlineStr"/>
      <c r="D5" s="28">
        <f>C5*B5/100</f>
        <v/>
      </c>
      <c r="E5" s="29" t="inlineStr"/>
      <c r="F5" s="28">
        <f>E5*B5/100</f>
        <v/>
      </c>
      <c r="G5" s="29" t="inlineStr"/>
      <c r="H5" s="28">
        <f>G5*B5/100</f>
        <v/>
      </c>
    </row>
    <row r="6">
      <c r="A6" s="4" t="inlineStr">
        <is>
          <t>Relevant Experience &amp; Case Studies</t>
        </is>
      </c>
      <c r="B6" s="28" t="n">
        <v>15</v>
      </c>
      <c r="C6" s="29" t="inlineStr"/>
      <c r="D6" s="28">
        <f>C6*B6/100</f>
        <v/>
      </c>
      <c r="E6" s="29" t="inlineStr"/>
      <c r="F6" s="28">
        <f>E6*B6/100</f>
        <v/>
      </c>
      <c r="G6" s="29" t="inlineStr"/>
      <c r="H6" s="28">
        <f>G6*B6/100</f>
        <v/>
      </c>
    </row>
    <row r="7">
      <c r="A7" s="4" t="inlineStr">
        <is>
          <t>Team Qualifications &amp; Coverage</t>
        </is>
      </c>
      <c r="B7" s="28" t="n">
        <v>15</v>
      </c>
      <c r="C7" s="29" t="inlineStr"/>
      <c r="D7" s="28">
        <f>C7*B7/100</f>
        <v/>
      </c>
      <c r="E7" s="29" t="inlineStr"/>
      <c r="F7" s="28">
        <f>E7*B7/100</f>
        <v/>
      </c>
      <c r="G7" s="29" t="inlineStr"/>
      <c r="H7" s="28">
        <f>G7*B7/100</f>
        <v/>
      </c>
    </row>
    <row r="8">
      <c r="A8" s="4" t="inlineStr">
        <is>
          <t>Cost / Value for Money</t>
        </is>
      </c>
      <c r="B8" s="28" t="n">
        <v>20</v>
      </c>
      <c r="C8" s="29" t="inlineStr"/>
      <c r="D8" s="28">
        <f>C8*B8/100</f>
        <v/>
      </c>
      <c r="E8" s="29" t="inlineStr"/>
      <c r="F8" s="28">
        <f>E8*B8/100</f>
        <v/>
      </c>
      <c r="G8" s="29" t="inlineStr"/>
      <c r="H8" s="28">
        <f>G8*B8/100</f>
        <v/>
      </c>
    </row>
    <row r="9">
      <c r="A9" s="4" t="inlineStr">
        <is>
          <t>Timeline Feasibility</t>
        </is>
      </c>
      <c r="B9" s="28" t="n">
        <v>10</v>
      </c>
      <c r="C9" s="29" t="inlineStr"/>
      <c r="D9" s="28">
        <f>C9*B9/100</f>
        <v/>
      </c>
      <c r="E9" s="29" t="inlineStr"/>
      <c r="F9" s="28">
        <f>E9*B9/100</f>
        <v/>
      </c>
      <c r="G9" s="29" t="inlineStr"/>
      <c r="H9" s="28">
        <f>G9*B9/100</f>
        <v/>
      </c>
    </row>
    <row r="10">
      <c r="A10" s="4" t="inlineStr">
        <is>
          <t>Data Quality &amp; Reporting</t>
        </is>
      </c>
      <c r="B10" s="28" t="n">
        <v>10</v>
      </c>
      <c r="C10" s="29" t="inlineStr"/>
      <c r="D10" s="28">
        <f>C10*B10/100</f>
        <v/>
      </c>
      <c r="E10" s="29" t="inlineStr"/>
      <c r="F10" s="28">
        <f>E10*B10/100</f>
        <v/>
      </c>
      <c r="G10" s="29" t="inlineStr"/>
      <c r="H10" s="28">
        <f>G10*B10/100</f>
        <v/>
      </c>
    </row>
    <row r="11">
      <c r="A11" s="4" t="inlineStr">
        <is>
          <t>Client Service &amp; Partnership</t>
        </is>
      </c>
      <c r="B11" s="28" t="n">
        <v>5</v>
      </c>
      <c r="C11" s="29" t="inlineStr"/>
      <c r="D11" s="28">
        <f>C11*B11/100</f>
        <v/>
      </c>
      <c r="E11" s="29" t="inlineStr"/>
      <c r="F11" s="28">
        <f>E11*B11/100</f>
        <v/>
      </c>
      <c r="G11" s="29" t="inlineStr"/>
      <c r="H11" s="28">
        <f>G11*B11/100</f>
        <v/>
      </c>
    </row>
    <row r="12">
      <c r="A12" s="30" t="inlineStr">
        <is>
          <t>TOTAL WEIGHTED SCORE</t>
        </is>
      </c>
      <c r="B12" s="30">
        <f>SUM(B5:B11)</f>
        <v/>
      </c>
      <c r="C12" s="31" t="n"/>
      <c r="D12" s="32">
        <f>SUM(D5:D11)</f>
        <v/>
      </c>
      <c r="E12" s="31" t="n"/>
      <c r="F12" s="32">
        <f>SUM(F5:F11)</f>
        <v/>
      </c>
      <c r="G12" s="31" t="n"/>
      <c r="H12" s="32">
        <f>SUM(H5:H11)</f>
        <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2026-03-12T10:42:30Z</dcterms:created>
  <dcterms:modified xmlns:dcterms="http://purl.org/dc/terms/" xmlns:xsi="http://www.w3.org/2001/XMLSchema-instance" xsi:type="dcterms:W3CDTF">2026-03-12T12:25:07Z</dcterms:modified>
</cp:coreProperties>
</file>